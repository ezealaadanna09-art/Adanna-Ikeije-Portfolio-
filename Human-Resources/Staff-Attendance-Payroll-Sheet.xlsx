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princess\Downloads\HIVE\HIVE STAFF ATTENDANCE 2025\"/>
    </mc:Choice>
  </mc:AlternateContent>
  <xr:revisionPtr revIDLastSave="0" documentId="8_{BF5A91FB-C8C5-B54B-A8B1-BA0889EA72FB}" xr6:coauthVersionLast="47" xr6:coauthVersionMax="47" xr10:uidLastSave="{00000000-0000-0000-0000-000000000000}"/>
  <bookViews>
    <workbookView xWindow="-110" yWindow="-110" windowWidth="19420" windowHeight="10300" activeTab="1" xr2:uid="{57BA95CC-62D4-4CC2-B533-AE6568D41569}"/>
  </bookViews>
  <sheets>
    <sheet name="Attendance Sheet" sheetId="1" r:id="rId1"/>
    <sheet name="Payroll Sheet" sheetId="2" r:id="rId2"/>
    <sheet name="Sheet1" sheetId="3" state="hidden" r:id="rId3"/>
  </sheets>
  <definedNames>
    <definedName name="_xlnm._FilterDatabase" localSheetId="0" hidden="1">'Attendance Sheet'!$A$5:$FW$12</definedName>
    <definedName name="Bank">Table1[List of Banks]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S12" i="1" l="1"/>
  <c r="M4" i="1"/>
  <c r="DB4" i="1"/>
  <c r="DD4" i="1"/>
  <c r="DF4" i="1"/>
  <c r="DH4" i="1"/>
  <c r="DJ4" i="1"/>
  <c r="DL4" i="1"/>
  <c r="DN4" i="1"/>
  <c r="DP4" i="1"/>
  <c r="FR6" i="1" a="1"/>
  <c r="FR6" i="1"/>
  <c r="V3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FW32" i="1"/>
  <c r="FR32" i="1" a="1"/>
  <c r="FR32" i="1"/>
  <c r="V29" i="2"/>
  <c r="FH32" i="1"/>
  <c r="FE32" i="1"/>
  <c r="M29" i="2"/>
  <c r="FD32" i="1"/>
  <c r="FC32" i="1"/>
  <c r="L29" i="2"/>
  <c r="FB32" i="1"/>
  <c r="FA32" i="1"/>
  <c r="K29" i="2"/>
  <c r="EZ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FW31" i="1"/>
  <c r="FR31" i="1" a="1"/>
  <c r="FR31" i="1"/>
  <c r="V28" i="2"/>
  <c r="FH31" i="1"/>
  <c r="FE31" i="1"/>
  <c r="M28" i="2"/>
  <c r="FD31" i="1"/>
  <c r="FC31" i="1"/>
  <c r="L28" i="2"/>
  <c r="FB31" i="1"/>
  <c r="FA31" i="1"/>
  <c r="K28" i="2"/>
  <c r="EZ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FW30" i="1"/>
  <c r="J27" i="2"/>
  <c r="FR30" i="1" a="1"/>
  <c r="FR30" i="1"/>
  <c r="V27" i="2"/>
  <c r="FH30" i="1"/>
  <c r="FE30" i="1"/>
  <c r="M27" i="2"/>
  <c r="FD30" i="1"/>
  <c r="FC30" i="1"/>
  <c r="L27" i="2"/>
  <c r="FB30" i="1"/>
  <c r="FA30" i="1"/>
  <c r="EZ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FW29" i="1"/>
  <c r="FR29" i="1" a="1"/>
  <c r="FR29" i="1"/>
  <c r="V26" i="2"/>
  <c r="FH29" i="1"/>
  <c r="FE29" i="1"/>
  <c r="M26" i="2"/>
  <c r="FD29" i="1"/>
  <c r="FC29" i="1"/>
  <c r="L26" i="2"/>
  <c r="FB29" i="1"/>
  <c r="FA29" i="1"/>
  <c r="K26" i="2"/>
  <c r="EZ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FW28" i="1"/>
  <c r="J25" i="2"/>
  <c r="FR28" i="1" a="1"/>
  <c r="FR28" i="1"/>
  <c r="V25" i="2"/>
  <c r="FH28" i="1"/>
  <c r="FE28" i="1"/>
  <c r="M25" i="2"/>
  <c r="FD28" i="1"/>
  <c r="FC28" i="1"/>
  <c r="FB28" i="1"/>
  <c r="FA28" i="1"/>
  <c r="EZ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FW27" i="1"/>
  <c r="J24" i="2"/>
  <c r="FR27" i="1" a="1"/>
  <c r="FR27" i="1"/>
  <c r="V24" i="2"/>
  <c r="FH27" i="1"/>
  <c r="FE27" i="1"/>
  <c r="FD27" i="1"/>
  <c r="FC27" i="1"/>
  <c r="FB27" i="1"/>
  <c r="FA27" i="1"/>
  <c r="K24" i="2"/>
  <c r="EZ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FW26" i="1"/>
  <c r="FR26" i="1" a="1"/>
  <c r="FR26" i="1"/>
  <c r="V23" i="2"/>
  <c r="FH26" i="1"/>
  <c r="FE26" i="1"/>
  <c r="M23" i="2"/>
  <c r="FD26" i="1"/>
  <c r="FC26" i="1"/>
  <c r="L23" i="2"/>
  <c r="FB26" i="1"/>
  <c r="FA26" i="1"/>
  <c r="K23" i="2"/>
  <c r="EZ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FW25" i="1"/>
  <c r="FR25" i="1" a="1"/>
  <c r="FR25" i="1"/>
  <c r="V22" i="2"/>
  <c r="FH25" i="1"/>
  <c r="FE25" i="1"/>
  <c r="M22" i="2"/>
  <c r="FD25" i="1"/>
  <c r="FC25" i="1"/>
  <c r="L22" i="2"/>
  <c r="FB25" i="1"/>
  <c r="FA25" i="1"/>
  <c r="K22" i="2"/>
  <c r="EZ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FW24" i="1"/>
  <c r="FR24" i="1" a="1"/>
  <c r="FR24" i="1"/>
  <c r="V21" i="2"/>
  <c r="FH24" i="1"/>
  <c r="FE24" i="1"/>
  <c r="M21" i="2"/>
  <c r="FD24" i="1"/>
  <c r="FC24" i="1"/>
  <c r="L21" i="2"/>
  <c r="FB24" i="1"/>
  <c r="FA24" i="1"/>
  <c r="K21" i="2"/>
  <c r="EZ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FW23" i="1"/>
  <c r="FR23" i="1" a="1"/>
  <c r="FR23" i="1"/>
  <c r="V20" i="2"/>
  <c r="FH23" i="1"/>
  <c r="FE23" i="1"/>
  <c r="M20" i="2"/>
  <c r="FD23" i="1"/>
  <c r="FC23" i="1"/>
  <c r="L20" i="2"/>
  <c r="FB23" i="1"/>
  <c r="FA23" i="1"/>
  <c r="K20" i="2"/>
  <c r="EZ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FW22" i="1"/>
  <c r="J19" i="2"/>
  <c r="FR22" i="1" a="1"/>
  <c r="FR22" i="1"/>
  <c r="V19" i="2"/>
  <c r="FH22" i="1"/>
  <c r="FE22" i="1"/>
  <c r="M19" i="2"/>
  <c r="FD22" i="1"/>
  <c r="FC22" i="1"/>
  <c r="L19" i="2"/>
  <c r="FB22" i="1"/>
  <c r="FA22" i="1"/>
  <c r="K19" i="2"/>
  <c r="EZ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FW21" i="1"/>
  <c r="J18" i="2"/>
  <c r="FR21" i="1" a="1"/>
  <c r="FR21" i="1"/>
  <c r="V18" i="2"/>
  <c r="FH21" i="1"/>
  <c r="FE21" i="1"/>
  <c r="M18" i="2"/>
  <c r="FD21" i="1"/>
  <c r="FC21" i="1"/>
  <c r="L18" i="2"/>
  <c r="FB21" i="1"/>
  <c r="FA21" i="1"/>
  <c r="K18" i="2"/>
  <c r="EZ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FW20" i="1"/>
  <c r="J17" i="2"/>
  <c r="FR20" i="1" a="1"/>
  <c r="FR20" i="1"/>
  <c r="V17" i="2"/>
  <c r="FH20" i="1"/>
  <c r="FE20" i="1"/>
  <c r="M17" i="2"/>
  <c r="FD20" i="1"/>
  <c r="FC20" i="1"/>
  <c r="L17" i="2"/>
  <c r="FB20" i="1"/>
  <c r="FA20" i="1"/>
  <c r="K17" i="2"/>
  <c r="EZ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FW19" i="1"/>
  <c r="FR19" i="1" a="1"/>
  <c r="FR19" i="1"/>
  <c r="V16" i="2"/>
  <c r="FH19" i="1"/>
  <c r="FE19" i="1"/>
  <c r="M16" i="2"/>
  <c r="FD19" i="1"/>
  <c r="FC19" i="1"/>
  <c r="L16" i="2"/>
  <c r="FB19" i="1"/>
  <c r="FA19" i="1"/>
  <c r="K16" i="2"/>
  <c r="EZ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FW18" i="1"/>
  <c r="J15" i="2"/>
  <c r="FR18" i="1" a="1"/>
  <c r="FR18" i="1"/>
  <c r="V15" i="2"/>
  <c r="FH18" i="1"/>
  <c r="FE18" i="1"/>
  <c r="M15" i="2"/>
  <c r="FD18" i="1"/>
  <c r="FC18" i="1"/>
  <c r="L15" i="2"/>
  <c r="FB18" i="1"/>
  <c r="FA18" i="1"/>
  <c r="K15" i="2"/>
  <c r="EZ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FW17" i="1"/>
  <c r="J14" i="2"/>
  <c r="FR17" i="1" a="1"/>
  <c r="FR17" i="1"/>
  <c r="V14" i="2"/>
  <c r="FH17" i="1"/>
  <c r="FE17" i="1"/>
  <c r="M14" i="2"/>
  <c r="FD17" i="1"/>
  <c r="FC17" i="1"/>
  <c r="L14" i="2"/>
  <c r="FB17" i="1"/>
  <c r="FA17" i="1"/>
  <c r="K14" i="2"/>
  <c r="EZ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FW16" i="1"/>
  <c r="J13" i="2"/>
  <c r="FR16" i="1" a="1"/>
  <c r="FR16" i="1"/>
  <c r="V13" i="2"/>
  <c r="FH16" i="1"/>
  <c r="FE16" i="1"/>
  <c r="M13" i="2"/>
  <c r="FD16" i="1"/>
  <c r="FC16" i="1"/>
  <c r="L13" i="2"/>
  <c r="FB16" i="1"/>
  <c r="FA16" i="1"/>
  <c r="K13" i="2"/>
  <c r="EZ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FW15" i="1"/>
  <c r="FR15" i="1" a="1"/>
  <c r="FR15" i="1"/>
  <c r="V12" i="2"/>
  <c r="FH15" i="1"/>
  <c r="FE15" i="1"/>
  <c r="M12" i="2"/>
  <c r="FD15" i="1"/>
  <c r="FC15" i="1"/>
  <c r="L12" i="2"/>
  <c r="FB15" i="1"/>
  <c r="FA15" i="1"/>
  <c r="K12" i="2"/>
  <c r="EZ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FW14" i="1"/>
  <c r="FR14" i="1" a="1"/>
  <c r="FR14" i="1"/>
  <c r="V11" i="2"/>
  <c r="FH14" i="1"/>
  <c r="FE14" i="1"/>
  <c r="M11" i="2"/>
  <c r="FD14" i="1"/>
  <c r="FC14" i="1"/>
  <c r="L11" i="2"/>
  <c r="FB14" i="1"/>
  <c r="FA14" i="1"/>
  <c r="K11" i="2"/>
  <c r="EZ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FW13" i="1"/>
  <c r="FR13" i="1" a="1"/>
  <c r="FR13" i="1"/>
  <c r="V10" i="2"/>
  <c r="FH13" i="1"/>
  <c r="FE13" i="1"/>
  <c r="M10" i="2"/>
  <c r="FD13" i="1"/>
  <c r="FC13" i="1"/>
  <c r="L10" i="2"/>
  <c r="FB13" i="1"/>
  <c r="FA13" i="1"/>
  <c r="K10" i="2"/>
  <c r="EZ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Q4" i="1"/>
  <c r="U4" i="1"/>
  <c r="FH12" i="1"/>
  <c r="FH11" i="1"/>
  <c r="FH10" i="1"/>
  <c r="FH9" i="1"/>
  <c r="FH8" i="1"/>
  <c r="FH7" i="1"/>
  <c r="FH6" i="1"/>
  <c r="D9" i="2"/>
  <c r="D8" i="2"/>
  <c r="D7" i="2"/>
  <c r="D6" i="2"/>
  <c r="D5" i="2"/>
  <c r="D4" i="2"/>
  <c r="D3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C9" i="2"/>
  <c r="C8" i="2"/>
  <c r="C7" i="2"/>
  <c r="C6" i="2"/>
  <c r="C5" i="2"/>
  <c r="C4" i="2"/>
  <c r="C3" i="2"/>
  <c r="B9" i="2"/>
  <c r="B8" i="2"/>
  <c r="B7" i="2"/>
  <c r="B6" i="2"/>
  <c r="B5" i="2"/>
  <c r="B4" i="2"/>
  <c r="B3" i="2"/>
  <c r="I4" i="2"/>
  <c r="I5" i="2"/>
  <c r="I6" i="2"/>
  <c r="I7" i="2"/>
  <c r="I8" i="2"/>
  <c r="I9" i="2"/>
  <c r="FA12" i="1"/>
  <c r="K9" i="2"/>
  <c r="FA11" i="1"/>
  <c r="K8" i="2"/>
  <c r="FA10" i="1"/>
  <c r="K7" i="2"/>
  <c r="FA9" i="1"/>
  <c r="K6" i="2"/>
  <c r="FA8" i="1"/>
  <c r="K5" i="2"/>
  <c r="FA7" i="1"/>
  <c r="K4" i="2"/>
  <c r="FA6" i="1"/>
  <c r="K3" i="2"/>
  <c r="EZ12" i="1"/>
  <c r="EZ11" i="1"/>
  <c r="EZ10" i="1"/>
  <c r="EZ9" i="1"/>
  <c r="EZ8" i="1"/>
  <c r="EZ7" i="1"/>
  <c r="EZ6" i="1"/>
  <c r="FW7" i="1"/>
  <c r="FW8" i="1"/>
  <c r="FW9" i="1"/>
  <c r="J6" i="2"/>
  <c r="FW10" i="1"/>
  <c r="FW11" i="1"/>
  <c r="J8" i="2"/>
  <c r="FW12" i="1"/>
  <c r="FB7" i="1"/>
  <c r="FC7" i="1"/>
  <c r="L4" i="2"/>
  <c r="FD7" i="1"/>
  <c r="FE7" i="1"/>
  <c r="FR7" i="1" a="1"/>
  <c r="FR7" i="1"/>
  <c r="V4" i="2"/>
  <c r="FB8" i="1"/>
  <c r="FC8" i="1"/>
  <c r="L5" i="2"/>
  <c r="FD8" i="1"/>
  <c r="FE8" i="1"/>
  <c r="M5" i="2"/>
  <c r="FR8" i="1" a="1"/>
  <c r="FR8" i="1"/>
  <c r="V5" i="2"/>
  <c r="FB9" i="1"/>
  <c r="FC9" i="1"/>
  <c r="FD9" i="1"/>
  <c r="FE9" i="1"/>
  <c r="M6" i="2"/>
  <c r="FR9" i="1" a="1"/>
  <c r="FR9" i="1"/>
  <c r="V6" i="2"/>
  <c r="FB10" i="1"/>
  <c r="FC10" i="1"/>
  <c r="L7" i="2"/>
  <c r="FD10" i="1"/>
  <c r="FE10" i="1"/>
  <c r="M7" i="2"/>
  <c r="FR10" i="1" a="1"/>
  <c r="FR10" i="1"/>
  <c r="V7" i="2"/>
  <c r="FB11" i="1"/>
  <c r="FC11" i="1"/>
  <c r="L8" i="2"/>
  <c r="FD11" i="1"/>
  <c r="FE11" i="1"/>
  <c r="M8" i="2"/>
  <c r="FR11" i="1" a="1"/>
  <c r="FR11" i="1"/>
  <c r="V8" i="2"/>
  <c r="FB12" i="1"/>
  <c r="FC12" i="1"/>
  <c r="L9" i="2"/>
  <c r="FD12" i="1"/>
  <c r="FE12" i="1"/>
  <c r="M9" i="2"/>
  <c r="FR12" i="1" a="1"/>
  <c r="FR12" i="1"/>
  <c r="V9" i="2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J12" i="1"/>
  <c r="EK12" i="1"/>
  <c r="EL12" i="1"/>
  <c r="EM12" i="1"/>
  <c r="EN12" i="1"/>
  <c r="EO12" i="1"/>
  <c r="EP12" i="1"/>
  <c r="EQ12" i="1"/>
  <c r="ER12" i="1"/>
  <c r="ET12" i="1"/>
  <c r="EU12" i="1"/>
  <c r="EV12" i="1"/>
  <c r="EW12" i="1"/>
  <c r="EX12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I3" i="2"/>
  <c r="FW6" i="1"/>
  <c r="J3" i="2"/>
  <c r="FO8" i="1"/>
  <c r="FO14" i="1"/>
  <c r="FO19" i="1"/>
  <c r="Y4" i="1"/>
  <c r="AC4" i="1"/>
  <c r="FJ14" i="1"/>
  <c r="FK14" i="1" a="1"/>
  <c r="FK14" i="1"/>
  <c r="FJ16" i="1"/>
  <c r="FK16" i="1" a="1"/>
  <c r="FK16" i="1"/>
  <c r="FJ23" i="1"/>
  <c r="FK23" i="1" a="1"/>
  <c r="FK23" i="1"/>
  <c r="FJ24" i="1"/>
  <c r="FK24" i="1" a="1"/>
  <c r="FK24" i="1"/>
  <c r="FJ25" i="1"/>
  <c r="FK25" i="1" a="1"/>
  <c r="FK25" i="1"/>
  <c r="FG25" i="1"/>
  <c r="FS27" i="1"/>
  <c r="FT27" i="1"/>
  <c r="T24" i="2"/>
  <c r="Z24" i="2"/>
  <c r="FS29" i="1"/>
  <c r="FT29" i="1"/>
  <c r="T26" i="2"/>
  <c r="Z26" i="2"/>
  <c r="FM28" i="1"/>
  <c r="FN28" i="1"/>
  <c r="FO27" i="1"/>
  <c r="J11" i="2"/>
  <c r="FS22" i="1"/>
  <c r="FT22" i="1"/>
  <c r="T19" i="2"/>
  <c r="Z19" i="2"/>
  <c r="FG21" i="1"/>
  <c r="FS20" i="1"/>
  <c r="FT20" i="1"/>
  <c r="T17" i="2"/>
  <c r="Z17" i="2"/>
  <c r="FS24" i="1"/>
  <c r="FT24" i="1"/>
  <c r="T21" i="2"/>
  <c r="Z21" i="2"/>
  <c r="FG16" i="1"/>
  <c r="FS30" i="1"/>
  <c r="FT30" i="1"/>
  <c r="T27" i="2"/>
  <c r="Z27" i="2"/>
  <c r="FS13" i="1"/>
  <c r="FT13" i="1"/>
  <c r="T10" i="2"/>
  <c r="Z10" i="2"/>
  <c r="FJ19" i="1"/>
  <c r="FK19" i="1" a="1"/>
  <c r="FK19" i="1"/>
  <c r="FJ20" i="1"/>
  <c r="FK20" i="1" a="1"/>
  <c r="FK20" i="1"/>
  <c r="FJ21" i="1"/>
  <c r="FK21" i="1" a="1"/>
  <c r="FK21" i="1"/>
  <c r="FN17" i="1"/>
  <c r="FG20" i="1"/>
  <c r="FS32" i="1"/>
  <c r="FT32" i="1"/>
  <c r="T29" i="2"/>
  <c r="Z29" i="2"/>
  <c r="FG19" i="1"/>
  <c r="FS15" i="1"/>
  <c r="FT15" i="1"/>
  <c r="T12" i="2"/>
  <c r="Z12" i="2"/>
  <c r="FS16" i="1"/>
  <c r="FT16" i="1"/>
  <c r="T13" i="2"/>
  <c r="Z13" i="2"/>
  <c r="FG23" i="1"/>
  <c r="J20" i="2"/>
  <c r="FM23" i="1"/>
  <c r="FS25" i="1"/>
  <c r="FT25" i="1"/>
  <c r="T22" i="2"/>
  <c r="Z22" i="2"/>
  <c r="FN27" i="1"/>
  <c r="L24" i="2"/>
  <c r="FM30" i="1"/>
  <c r="K27" i="2"/>
  <c r="L25" i="2"/>
  <c r="M24" i="2"/>
  <c r="FG17" i="1"/>
  <c r="FS18" i="1"/>
  <c r="FT18" i="1"/>
  <c r="T15" i="2"/>
  <c r="Z15" i="2"/>
  <c r="FM18" i="1"/>
  <c r="FG13" i="1"/>
  <c r="FJ13" i="1"/>
  <c r="FK13" i="1" a="1"/>
  <c r="FK13" i="1"/>
  <c r="FO18" i="1"/>
  <c r="FG22" i="1"/>
  <c r="FO25" i="1"/>
  <c r="J22" i="2"/>
  <c r="FM25" i="1"/>
  <c r="FO15" i="1"/>
  <c r="J12" i="2"/>
  <c r="FO17" i="1"/>
  <c r="FS19" i="1"/>
  <c r="FT19" i="1"/>
  <c r="T16" i="2"/>
  <c r="Z16" i="2"/>
  <c r="FS21" i="1"/>
  <c r="FT21" i="1"/>
  <c r="T18" i="2"/>
  <c r="Z18" i="2"/>
  <c r="FJ22" i="1"/>
  <c r="FK22" i="1" a="1"/>
  <c r="FK22" i="1"/>
  <c r="FS14" i="1"/>
  <c r="FT14" i="1"/>
  <c r="T11" i="2"/>
  <c r="Z11" i="2"/>
  <c r="J26" i="2"/>
  <c r="FO29" i="1"/>
  <c r="FM29" i="1"/>
  <c r="FG14" i="1"/>
  <c r="FJ15" i="1"/>
  <c r="FK15" i="1" a="1"/>
  <c r="FK15" i="1"/>
  <c r="FM20" i="1"/>
  <c r="FM31" i="1"/>
  <c r="J28" i="2"/>
  <c r="FG30" i="1"/>
  <c r="FJ26" i="1"/>
  <c r="FK26" i="1" a="1"/>
  <c r="FK26" i="1"/>
  <c r="FO28" i="1"/>
  <c r="FJ30" i="1"/>
  <c r="FK30" i="1" a="1"/>
  <c r="FK30" i="1"/>
  <c r="FG32" i="1"/>
  <c r="FN30" i="1"/>
  <c r="FG31" i="1"/>
  <c r="FN31" i="1"/>
  <c r="FJ29" i="1"/>
  <c r="FK29" i="1" a="1"/>
  <c r="FK29" i="1"/>
  <c r="FO30" i="1"/>
  <c r="FJ32" i="1"/>
  <c r="FK32" i="1" a="1"/>
  <c r="FK32" i="1"/>
  <c r="Q29" i="2"/>
  <c r="FS31" i="1"/>
  <c r="FT31" i="1"/>
  <c r="T28" i="2"/>
  <c r="Z28" i="2"/>
  <c r="K25" i="2"/>
  <c r="FN16" i="1"/>
  <c r="FM16" i="1"/>
  <c r="FO24" i="1"/>
  <c r="J21" i="2"/>
  <c r="FN13" i="1"/>
  <c r="J10" i="2"/>
  <c r="FM17" i="1"/>
  <c r="FO32" i="1"/>
  <c r="J29" i="2"/>
  <c r="J16" i="2"/>
  <c r="FM27" i="1"/>
  <c r="FO16" i="1"/>
  <c r="FO26" i="1"/>
  <c r="FN26" i="1"/>
  <c r="FM26" i="1"/>
  <c r="J23" i="2"/>
  <c r="FN29" i="1"/>
  <c r="FN18" i="1"/>
  <c r="FO22" i="1"/>
  <c r="FM22" i="1"/>
  <c r="FN22" i="1"/>
  <c r="FG27" i="1"/>
  <c r="FJ27" i="1"/>
  <c r="FK27" i="1" a="1"/>
  <c r="FK27" i="1"/>
  <c r="FM14" i="1"/>
  <c r="FS17" i="1"/>
  <c r="FT17" i="1"/>
  <c r="T14" i="2"/>
  <c r="Z14" i="2"/>
  <c r="FN25" i="1"/>
  <c r="FG29" i="1"/>
  <c r="FO31" i="1"/>
  <c r="FN14" i="1"/>
  <c r="FG18" i="1"/>
  <c r="FN19" i="1"/>
  <c r="FM19" i="1"/>
  <c r="FS26" i="1"/>
  <c r="FT26" i="1"/>
  <c r="T23" i="2"/>
  <c r="Z23" i="2"/>
  <c r="FS28" i="1"/>
  <c r="FT28" i="1"/>
  <c r="T25" i="2"/>
  <c r="Z25" i="2"/>
  <c r="FM15" i="1"/>
  <c r="FN20" i="1"/>
  <c r="FN23" i="1"/>
  <c r="FO23" i="1"/>
  <c r="FM13" i="1"/>
  <c r="FN15" i="1"/>
  <c r="FO20" i="1"/>
  <c r="FO21" i="1"/>
  <c r="FN21" i="1"/>
  <c r="FM21" i="1"/>
  <c r="FG24" i="1"/>
  <c r="FJ17" i="1"/>
  <c r="FK17" i="1" a="1"/>
  <c r="FK17" i="1"/>
  <c r="FM24" i="1"/>
  <c r="FO13" i="1"/>
  <c r="FN32" i="1"/>
  <c r="FM32" i="1"/>
  <c r="FJ18" i="1"/>
  <c r="FK18" i="1" a="1"/>
  <c r="FK18" i="1"/>
  <c r="FS23" i="1"/>
  <c r="FT23" i="1"/>
  <c r="T20" i="2"/>
  <c r="Z20" i="2"/>
  <c r="FN24" i="1"/>
  <c r="FG26" i="1"/>
  <c r="FJ28" i="1"/>
  <c r="FK28" i="1" a="1"/>
  <c r="FK28" i="1"/>
  <c r="FG28" i="1"/>
  <c r="FG15" i="1"/>
  <c r="FJ31" i="1"/>
  <c r="FK31" i="1" a="1"/>
  <c r="FK31" i="1"/>
  <c r="FN10" i="1"/>
  <c r="FN9" i="1"/>
  <c r="FN8" i="1"/>
  <c r="FJ11" i="1"/>
  <c r="FK11" i="1" a="1"/>
  <c r="FK11" i="1"/>
  <c r="FS12" i="1"/>
  <c r="FT12" i="1"/>
  <c r="T9" i="2"/>
  <c r="Z9" i="2"/>
  <c r="FS8" i="1"/>
  <c r="FT8" i="1"/>
  <c r="T5" i="2"/>
  <c r="Z5" i="2"/>
  <c r="FN11" i="1"/>
  <c r="FM8" i="1"/>
  <c r="FO7" i="1"/>
  <c r="M4" i="2"/>
  <c r="FS11" i="1"/>
  <c r="FT11" i="1"/>
  <c r="T8" i="2"/>
  <c r="Z8" i="2"/>
  <c r="FS7" i="1"/>
  <c r="FT7" i="1"/>
  <c r="T4" i="2"/>
  <c r="Z4" i="2"/>
  <c r="FO10" i="1"/>
  <c r="J7" i="2"/>
  <c r="FN12" i="1"/>
  <c r="FO12" i="1"/>
  <c r="J9" i="2"/>
  <c r="FS9" i="1"/>
  <c r="FT9" i="1"/>
  <c r="T6" i="2"/>
  <c r="Z6" i="2"/>
  <c r="FM12" i="1"/>
  <c r="FO11" i="1"/>
  <c r="FN7" i="1"/>
  <c r="FG9" i="1"/>
  <c r="FG8" i="1"/>
  <c r="FS10" i="1"/>
  <c r="FT10" i="1"/>
  <c r="T7" i="2"/>
  <c r="Z7" i="2"/>
  <c r="FG12" i="1"/>
  <c r="J4" i="2"/>
  <c r="FG7" i="1"/>
  <c r="J5" i="2"/>
  <c r="L6" i="2"/>
  <c r="FG10" i="1"/>
  <c r="FM11" i="1"/>
  <c r="FM10" i="1"/>
  <c r="FG11" i="1"/>
  <c r="FJ10" i="1"/>
  <c r="FK10" i="1" a="1"/>
  <c r="FK10" i="1"/>
  <c r="FM9" i="1"/>
  <c r="FJ8" i="1"/>
  <c r="FK8" i="1" a="1"/>
  <c r="FK8" i="1"/>
  <c r="Q5" i="2"/>
  <c r="FJ7" i="1"/>
  <c r="FK7" i="1" a="1"/>
  <c r="FK7" i="1"/>
  <c r="Q4" i="2"/>
  <c r="FJ12" i="1"/>
  <c r="FK12" i="1" a="1"/>
  <c r="FK12" i="1"/>
  <c r="FJ9" i="1"/>
  <c r="FK9" i="1" a="1"/>
  <c r="FK9" i="1"/>
  <c r="FO9" i="1"/>
  <c r="FM7" i="1"/>
  <c r="FG6" i="1"/>
  <c r="FD6" i="1"/>
  <c r="FE6" i="1"/>
  <c r="FB6" i="1"/>
  <c r="FC6" i="1"/>
  <c r="DU3" i="1"/>
  <c r="DW3" i="1"/>
  <c r="DY3" i="1"/>
  <c r="EA3" i="1"/>
  <c r="EC3" i="1"/>
  <c r="EE3" i="1"/>
  <c r="EG3" i="1"/>
  <c r="DS3" i="1"/>
  <c r="CX3" i="1"/>
  <c r="I3" i="1"/>
  <c r="AG4" i="1"/>
  <c r="AK4" i="1"/>
  <c r="AO4" i="1"/>
  <c r="FP28" i="1"/>
  <c r="N25" i="2"/>
  <c r="S25" i="2"/>
  <c r="AA25" i="2"/>
  <c r="FP27" i="1"/>
  <c r="N24" i="2"/>
  <c r="S24" i="2"/>
  <c r="AA24" i="2"/>
  <c r="FP17" i="1"/>
  <c r="N14" i="2"/>
  <c r="S14" i="2"/>
  <c r="AA14" i="2"/>
  <c r="FP18" i="1"/>
  <c r="N15" i="2"/>
  <c r="S15" i="2"/>
  <c r="AA15" i="2"/>
  <c r="FP30" i="1"/>
  <c r="N27" i="2"/>
  <c r="S27" i="2"/>
  <c r="AA27" i="2"/>
  <c r="FP25" i="1"/>
  <c r="N22" i="2"/>
  <c r="S22" i="2"/>
  <c r="AA22" i="2"/>
  <c r="FP29" i="1"/>
  <c r="N26" i="2"/>
  <c r="S26" i="2"/>
  <c r="AA26" i="2"/>
  <c r="FP32" i="1"/>
  <c r="N29" i="2"/>
  <c r="S29" i="2"/>
  <c r="AA29" i="2"/>
  <c r="FP31" i="1"/>
  <c r="N28" i="2"/>
  <c r="S28" i="2"/>
  <c r="AA28" i="2"/>
  <c r="FP20" i="1"/>
  <c r="N17" i="2"/>
  <c r="S17" i="2"/>
  <c r="AA17" i="2"/>
  <c r="FP15" i="1"/>
  <c r="N12" i="2"/>
  <c r="S12" i="2"/>
  <c r="AA12" i="2"/>
  <c r="FP19" i="1"/>
  <c r="N16" i="2"/>
  <c r="S16" i="2"/>
  <c r="AA16" i="2"/>
  <c r="FP23" i="1"/>
  <c r="N20" i="2"/>
  <c r="S20" i="2"/>
  <c r="AA20" i="2"/>
  <c r="FP26" i="1"/>
  <c r="N23" i="2"/>
  <c r="S23" i="2"/>
  <c r="AA23" i="2"/>
  <c r="FP16" i="1"/>
  <c r="N13" i="2"/>
  <c r="S13" i="2"/>
  <c r="AA13" i="2"/>
  <c r="FP22" i="1"/>
  <c r="N19" i="2"/>
  <c r="S19" i="2"/>
  <c r="AA19" i="2"/>
  <c r="FP24" i="1"/>
  <c r="N21" i="2"/>
  <c r="S21" i="2"/>
  <c r="AA21" i="2"/>
  <c r="FP21" i="1"/>
  <c r="N18" i="2"/>
  <c r="S18" i="2"/>
  <c r="AA18" i="2"/>
  <c r="FP13" i="1"/>
  <c r="N10" i="2"/>
  <c r="S10" i="2"/>
  <c r="AA10" i="2"/>
  <c r="FP14" i="1"/>
  <c r="N11" i="2"/>
  <c r="S11" i="2"/>
  <c r="AA11" i="2"/>
  <c r="FP11" i="1"/>
  <c r="N8" i="2"/>
  <c r="S8" i="2"/>
  <c r="AA8" i="2"/>
  <c r="FP8" i="1"/>
  <c r="N5" i="2"/>
  <c r="S5" i="2"/>
  <c r="AA5" i="2"/>
  <c r="FP9" i="1"/>
  <c r="N6" i="2"/>
  <c r="S6" i="2"/>
  <c r="AA6" i="2"/>
  <c r="FP10" i="1"/>
  <c r="N7" i="2"/>
  <c r="S7" i="2"/>
  <c r="AA7" i="2"/>
  <c r="FP12" i="1"/>
  <c r="N9" i="2"/>
  <c r="S9" i="2"/>
  <c r="AA9" i="2"/>
  <c r="FP7" i="1"/>
  <c r="N4" i="2"/>
  <c r="S4" i="2"/>
  <c r="AA4" i="2"/>
  <c r="FM6" i="1"/>
  <c r="FN6" i="1"/>
  <c r="L3" i="2"/>
  <c r="FO6" i="1"/>
  <c r="M3" i="2"/>
  <c r="FS6" i="1"/>
  <c r="FT6" i="1"/>
  <c r="T3" i="2"/>
  <c r="Z3" i="2"/>
  <c r="FJ6" i="1"/>
  <c r="FK6" i="1" a="1"/>
  <c r="FK6" i="1"/>
  <c r="CZ3" i="1"/>
  <c r="M3" i="1"/>
  <c r="AS4" i="1"/>
  <c r="AW4" i="1"/>
  <c r="Q3" i="2"/>
  <c r="FP6" i="1"/>
  <c r="N3" i="2"/>
  <c r="DB3" i="1"/>
  <c r="Q3" i="1"/>
  <c r="BA4" i="1"/>
  <c r="BE4" i="1"/>
  <c r="BI4" i="1"/>
  <c r="S3" i="2"/>
  <c r="AA3" i="2"/>
  <c r="DD3" i="1"/>
  <c r="U3" i="1"/>
  <c r="BM4" i="1"/>
  <c r="BQ4" i="1"/>
  <c r="DF3" i="1"/>
  <c r="Y3" i="1"/>
  <c r="BU4" i="1"/>
  <c r="BY4" i="1"/>
  <c r="DH3" i="1"/>
  <c r="AC3" i="1"/>
  <c r="CC4" i="1"/>
  <c r="CG4" i="1"/>
  <c r="CK4" i="1"/>
  <c r="CK3" i="1"/>
  <c r="DJ3" i="1"/>
  <c r="AG3" i="1"/>
  <c r="DL3" i="1"/>
  <c r="AK3" i="1"/>
  <c r="AO3" i="1"/>
  <c r="AS3" i="1"/>
  <c r="AW3" i="1"/>
  <c r="BA3" i="1"/>
  <c r="BE3" i="1"/>
  <c r="BI3" i="1"/>
  <c r="BM3" i="1"/>
  <c r="BQ3" i="1"/>
  <c r="BU3" i="1"/>
  <c r="BY3" i="1"/>
  <c r="CC3" i="1"/>
  <c r="C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<sst xmlns="http://schemas.openxmlformats.org/spreadsheetml/2006/main" count="261" uniqueCount="121">
  <si>
    <t>Staff Number</t>
  </si>
  <si>
    <t>Date of Employment</t>
  </si>
  <si>
    <t>Job Title</t>
  </si>
  <si>
    <t>Location</t>
  </si>
  <si>
    <t>Wk_Dy
Status</t>
  </si>
  <si>
    <t>Wk_Dy
Hours</t>
  </si>
  <si>
    <t>OT
Status</t>
  </si>
  <si>
    <t>OT
Hours</t>
  </si>
  <si>
    <t>P</t>
  </si>
  <si>
    <t>SL</t>
  </si>
  <si>
    <t>CL</t>
  </si>
  <si>
    <t>CML</t>
  </si>
  <si>
    <t>ML</t>
  </si>
  <si>
    <t>PH</t>
  </si>
  <si>
    <t>A</t>
  </si>
  <si>
    <t>AB</t>
  </si>
  <si>
    <t>SUS</t>
  </si>
  <si>
    <t>R</t>
  </si>
  <si>
    <t>WO</t>
  </si>
  <si>
    <t>T</t>
  </si>
  <si>
    <t>Present</t>
  </si>
  <si>
    <t>Compassionate Leave</t>
  </si>
  <si>
    <t>Absent</t>
  </si>
  <si>
    <t>Absond</t>
  </si>
  <si>
    <t>Suspension</t>
  </si>
  <si>
    <t>Transferred</t>
  </si>
  <si>
    <t>Resigned</t>
  </si>
  <si>
    <t>Maternity
Leave</t>
  </si>
  <si>
    <t>Public
Holiday</t>
  </si>
  <si>
    <t>Casual
Leave</t>
  </si>
  <si>
    <t>Sick
Leave</t>
  </si>
  <si>
    <t>Work
Off</t>
  </si>
  <si>
    <t>WOT
Status</t>
  </si>
  <si>
    <t>WOT
Hours</t>
  </si>
  <si>
    <t>Leave
Without Pay</t>
  </si>
  <si>
    <t>LWP</t>
  </si>
  <si>
    <t>Staff Name
(Surname First)</t>
  </si>
  <si>
    <t>Company
(Subsidiary)</t>
  </si>
  <si>
    <t>PH
Status</t>
  </si>
  <si>
    <t>PH
Hours</t>
  </si>
  <si>
    <t>WOT</t>
  </si>
  <si>
    <t>Weekend
Overtime</t>
  </si>
  <si>
    <t>Weekday
Overtime</t>
  </si>
  <si>
    <t>OT</t>
  </si>
  <si>
    <t>Days</t>
  </si>
  <si>
    <t>Hours</t>
  </si>
  <si>
    <t>OT_Hrs</t>
  </si>
  <si>
    <t>WOT_Hrs</t>
  </si>
  <si>
    <t>Public Holiday
Overtime</t>
  </si>
  <si>
    <t>PH_Hrs</t>
  </si>
  <si>
    <t>Staff Category</t>
  </si>
  <si>
    <t>Work Days</t>
  </si>
  <si>
    <t>P + WOT + PH</t>
  </si>
  <si>
    <t>Work From Home</t>
  </si>
  <si>
    <t>WFH</t>
  </si>
  <si>
    <t>Transportation
Allowance</t>
  </si>
  <si>
    <t>Amount</t>
  </si>
  <si>
    <t>Senior Staff
Junior Staff
Intern</t>
  </si>
  <si>
    <t>Deductibles</t>
  </si>
  <si>
    <t>Union Dues</t>
  </si>
  <si>
    <t>Absence Off-Work</t>
  </si>
  <si>
    <t>Senior Staff
Junior Staff</t>
  </si>
  <si>
    <t>A + AB + SUS + R + LWP
(Days)</t>
  </si>
  <si>
    <t>Gross Pay</t>
  </si>
  <si>
    <t>Basic Pay
(30% of Gross)</t>
  </si>
  <si>
    <t>Employee Approved Pay</t>
  </si>
  <si>
    <t>Overtime Pay</t>
  </si>
  <si>
    <t>OT Amount
(Rate @ 1.3)</t>
  </si>
  <si>
    <t>WOT Amount
(Rate @ 1.56)</t>
  </si>
  <si>
    <t>PH Amount
(Rate @ 2)</t>
  </si>
  <si>
    <t>Total Overtime
Amount</t>
  </si>
  <si>
    <t>S/N</t>
  </si>
  <si>
    <t>Basic Pay</t>
  </si>
  <si>
    <t>Overtime
Weekday Hours</t>
  </si>
  <si>
    <t>Overtime
Weekend Hours</t>
  </si>
  <si>
    <t>Overtime
Pub_Hol  Hours</t>
  </si>
  <si>
    <t>Overtime
Amount</t>
  </si>
  <si>
    <t>Fixed
Overtime</t>
  </si>
  <si>
    <t>Leave
Allowance</t>
  </si>
  <si>
    <t>Daily Transport
Allowance</t>
  </si>
  <si>
    <t>Bonus
Allowance</t>
  </si>
  <si>
    <t>Actual
Gross Pay</t>
  </si>
  <si>
    <t>Contract
Gross Pay</t>
  </si>
  <si>
    <t>Union
Dues</t>
  </si>
  <si>
    <t>Absenteeism</t>
  </si>
  <si>
    <t>Penalty</t>
  </si>
  <si>
    <t>Staff Advance
I.O.U.
1</t>
  </si>
  <si>
    <t>Staff Advance
I.O.U.
2</t>
  </si>
  <si>
    <t>Total
Deduction</t>
  </si>
  <si>
    <t>Net Pay</t>
  </si>
  <si>
    <t>Bank Name</t>
  </si>
  <si>
    <t>Account Number</t>
  </si>
  <si>
    <t>Study Leave</t>
  </si>
  <si>
    <t>STL</t>
  </si>
  <si>
    <t>P,SL,CL,CML,STL,ML,PH,WFH</t>
  </si>
  <si>
    <t>Providus Bank</t>
  </si>
  <si>
    <t>Access Bank</t>
  </si>
  <si>
    <t>Wema Bank</t>
  </si>
  <si>
    <t>Zenith Bank</t>
  </si>
  <si>
    <t>Polaris Bank</t>
  </si>
  <si>
    <t>United Bank For Africa</t>
  </si>
  <si>
    <t>First Bank Of Nigeria</t>
  </si>
  <si>
    <t>Sterling Bank</t>
  </si>
  <si>
    <t>Lotus Bank</t>
  </si>
  <si>
    <t>Fidelity Bank</t>
  </si>
  <si>
    <t>First City Monument Bank</t>
  </si>
  <si>
    <t>Union Bank</t>
  </si>
  <si>
    <t>Keystone Bank</t>
  </si>
  <si>
    <t>Unity Bank</t>
  </si>
  <si>
    <t>Ecobank</t>
  </si>
  <si>
    <t>Opay</t>
  </si>
  <si>
    <t>Stanbic Ibtc Bank</t>
  </si>
  <si>
    <t>List of Banks</t>
  </si>
  <si>
    <t>GTbank Plc</t>
  </si>
  <si>
    <t>Kuda MFB</t>
  </si>
  <si>
    <t>Moniepoint</t>
  </si>
  <si>
    <t>NHF
2.5% * Gross Pay</t>
  </si>
  <si>
    <t>Sat</t>
  </si>
  <si>
    <t>Sun</t>
  </si>
  <si>
    <t xml:space="preserve"> PAYROLL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</si>
</sst>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"/>
    <numFmt numFmtId="165" formatCode="dd\-mmm\-yyyy"/>
    <numFmt numFmtId="166" formatCode="_-[$₦-46A]* #,##0_-;\-[$₦-46A]* #,##0_-;_-[$₦-46A]* &quot;-&quot;_-;_-@_-"/>
    <numFmt numFmtId="167" formatCode="_-[$₦-46A]* #,##0.00_-;\-[$₦-46A]* #,##0.00_-;_-[$₦-46A]* &quot;-&quot;??_-;_-@_-"/>
    <numFmt numFmtId="168" formatCode="_-[$₦-46A]* #,##0.0_-;\-[$₦-46A]* #,##0.0_-;_-[$₦-46A]* &quot;-&quot;?_-;_-@_-"/>
    <numFmt numFmtId="169" formatCode="0000000000"/>
  </numFmts>
  <fonts count="11">
    <font>
      <sz val="11"/>
      <color theme="1"/>
      <name val="MarkPro"/>
      <family val="2"/>
    </font>
    <font>
      <b/>
      <sz val="12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sz val="8"/>
      <name val="MarkPro"/>
      <family val="2"/>
    </font>
    <font>
      <b/>
      <sz val="10"/>
      <color theme="0"/>
      <name val="Aptos Narrow"/>
      <family val="2"/>
    </font>
    <font>
      <b/>
      <sz val="11"/>
      <color theme="0"/>
      <name val="Aptos Narrow"/>
      <family val="2"/>
    </font>
    <font>
      <b/>
      <sz val="22"/>
      <color theme="1"/>
      <name val="Aptos Narrow"/>
      <family val="2"/>
    </font>
    <font>
      <b/>
      <sz val="11"/>
      <color theme="1"/>
      <name val="MarkPro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8A000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9"/>
        <bgColor indexed="64"/>
      </patternFill>
    </fill>
  </fills>
  <borders count="64">
    <border>
      <left/>
      <right/>
      <top/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hair">
        <color theme="2" tint="-0.749961851863155"/>
      </right>
      <top style="hair">
        <color theme="2" tint="-0.749961851863155"/>
      </top>
      <bottom style="hair">
        <color theme="2" tint="-0.749961851863155"/>
      </bottom>
      <diagonal/>
    </border>
    <border>
      <left style="hair">
        <color theme="2" tint="-0.749961851863155"/>
      </left>
      <right style="thin">
        <color theme="2" tint="-0.749961851863155"/>
      </right>
      <top style="hair">
        <color theme="2" tint="-0.749961851863155"/>
      </top>
      <bottom style="hair">
        <color theme="2" tint="-0.749961851863155"/>
      </bottom>
      <diagonal/>
    </border>
    <border>
      <left style="thin">
        <color theme="2" tint="-0.749961851863155"/>
      </left>
      <right style="hair">
        <color theme="2" tint="-0.749961851863155"/>
      </right>
      <top/>
      <bottom style="hair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hair">
        <color theme="2" tint="-0.749961851863155"/>
      </top>
      <bottom style="hair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/>
      <bottom style="thin">
        <color theme="2" tint="-0.749961851863155"/>
      </bottom>
      <diagonal/>
    </border>
    <border>
      <left style="medium">
        <color theme="2" tint="-0.749961851863155"/>
      </left>
      <right/>
      <top style="medium">
        <color theme="2" tint="-0.749961851863155"/>
      </top>
      <bottom style="medium">
        <color theme="2" tint="-0.749961851863155"/>
      </bottom>
      <diagonal/>
    </border>
    <border>
      <left/>
      <right style="medium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/>
      <bottom style="medium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medium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/>
      <bottom style="medium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 style="medium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2" tint="-0.749961851863155"/>
      </top>
      <bottom/>
      <diagonal/>
    </border>
    <border>
      <left style="thin">
        <color theme="2" tint="-0.749961851863155"/>
      </left>
      <right style="medium">
        <color theme="2" tint="-0.749961851863155"/>
      </right>
      <top style="medium">
        <color theme="2" tint="-0.749961851863155"/>
      </top>
      <bottom/>
      <diagonal/>
    </border>
    <border>
      <left style="medium">
        <color theme="2" tint="-0.749961851863155"/>
      </left>
      <right style="hair">
        <color theme="2" tint="-0.749961851863155"/>
      </right>
      <top/>
      <bottom style="medium">
        <color theme="2" tint="-0.749961851863155"/>
      </bottom>
      <diagonal/>
    </border>
    <border>
      <left style="hair">
        <color theme="2" tint="-0.749961851863155"/>
      </left>
      <right style="thin">
        <color theme="2" tint="-0.749961851863155"/>
      </right>
      <top/>
      <bottom style="medium">
        <color theme="2" tint="-0.749961851863155"/>
      </bottom>
      <diagonal/>
    </border>
    <border>
      <left style="thin">
        <color theme="2" tint="-0.749961851863155"/>
      </left>
      <right style="hair">
        <color theme="2" tint="-0.749961851863155"/>
      </right>
      <top/>
      <bottom style="medium">
        <color theme="2" tint="-0.749961851863155"/>
      </bottom>
      <diagonal/>
    </border>
    <border>
      <left style="hair">
        <color theme="2" tint="-0.749961851863155"/>
      </left>
      <right style="medium">
        <color theme="2" tint="-0.749961851863155"/>
      </right>
      <top/>
      <bottom style="medium">
        <color theme="2" tint="-0.749961851863155"/>
      </bottom>
      <diagonal/>
    </border>
    <border>
      <left style="medium">
        <color theme="2" tint="-0.749961851863155"/>
      </left>
      <right style="hair">
        <color theme="2" tint="-0.749961851863155"/>
      </right>
      <top/>
      <bottom style="hair">
        <color theme="2" tint="-0.749961851863155"/>
      </bottom>
      <diagonal/>
    </border>
    <border>
      <left style="hair">
        <color theme="2" tint="-0.749961851863155"/>
      </left>
      <right style="medium">
        <color theme="2" tint="-0.749961851863155"/>
      </right>
      <top style="hair">
        <color theme="2" tint="-0.749961851863155"/>
      </top>
      <bottom style="hair">
        <color theme="2" tint="-0.749961851863155"/>
      </bottom>
      <diagonal/>
    </border>
    <border>
      <left style="thin">
        <color theme="2" tint="-0.749961851863155"/>
      </left>
      <right/>
      <top style="medium">
        <color theme="2" tint="-0.749961851863155"/>
      </top>
      <bottom style="medium">
        <color theme="2" tint="-0.749961851863155"/>
      </bottom>
      <diagonal/>
    </border>
    <border>
      <left/>
      <right style="thin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749961851863155"/>
      </left>
      <right style="hair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hair">
        <color theme="2" tint="-0.749961851863155"/>
      </left>
      <right style="thin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hair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hair">
        <color theme="2" tint="-0.749961851863155"/>
      </left>
      <right style="medium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medium">
        <color theme="2" tint="-0.749961851863155"/>
      </right>
      <top/>
      <bottom/>
      <diagonal/>
    </border>
    <border>
      <left style="medium">
        <color theme="2" tint="-0.749961851863155"/>
      </left>
      <right style="thin">
        <color theme="2" tint="-0.749961851863155"/>
      </right>
      <top style="hair">
        <color theme="2" tint="-0.749961851863155"/>
      </top>
      <bottom style="hair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hair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/>
      <bottom style="hair">
        <color theme="2" tint="-0.749961851863155"/>
      </bottom>
      <diagonal/>
    </border>
    <border>
      <left style="medium">
        <color theme="2" tint="-0.749961851863155"/>
      </left>
      <right style="medium">
        <color theme="2" tint="-0.749961851863155"/>
      </right>
      <top style="medium">
        <color theme="2" tint="-0.749961851863155"/>
      </top>
      <bottom/>
      <diagonal/>
    </border>
    <border>
      <left style="medium">
        <color theme="2" tint="-0.749961851863155"/>
      </left>
      <right style="medium">
        <color theme="2" tint="-0.749961851863155"/>
      </right>
      <top/>
      <bottom style="medium">
        <color theme="2" tint="-0.749961851863155"/>
      </bottom>
      <diagonal/>
    </border>
    <border>
      <left style="medium">
        <color theme="2" tint="-0.749961851863155"/>
      </left>
      <right style="medium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749961851863155"/>
      </left>
      <right style="medium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/>
      <bottom style="medium">
        <color theme="2" tint="-0.749961851863155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2" tint="-0.749961851863155"/>
      </left>
      <right/>
      <top/>
      <bottom style="hair">
        <color theme="2" tint="-0.749961851863155"/>
      </bottom>
      <diagonal/>
    </border>
    <border>
      <left style="hair">
        <color theme="2" tint="-0.749961851863155"/>
      </left>
      <right style="thin">
        <color theme="2" tint="-0.749961851863155"/>
      </right>
      <top/>
      <bottom style="hair">
        <color theme="2" tint="-0.749961851863155"/>
      </bottom>
      <diagonal/>
    </border>
    <border>
      <left style="medium">
        <color indexed="64"/>
      </left>
      <right style="hair">
        <color theme="2" tint="-0.749961851863155"/>
      </right>
      <top style="medium">
        <color indexed="64"/>
      </top>
      <bottom style="medium">
        <color indexed="64"/>
      </bottom>
      <diagonal/>
    </border>
    <border>
      <left style="hair">
        <color theme="2" tint="-0.749961851863155"/>
      </left>
      <right style="thin">
        <color theme="2" tint="-0.749961851863155"/>
      </right>
      <top style="medium">
        <color indexed="64"/>
      </top>
      <bottom style="medium">
        <color indexed="64"/>
      </bottom>
      <diagonal/>
    </border>
    <border>
      <left style="thin">
        <color theme="2" tint="-0.749961851863155"/>
      </left>
      <right style="hair">
        <color theme="2" tint="-0.749961851863155"/>
      </right>
      <top style="medium">
        <color indexed="64"/>
      </top>
      <bottom style="medium">
        <color indexed="64"/>
      </bottom>
      <diagonal/>
    </border>
    <border>
      <left/>
      <right style="hair">
        <color theme="2" tint="-0.749961851863155"/>
      </right>
      <top style="medium">
        <color indexed="64"/>
      </top>
      <bottom style="medium">
        <color indexed="64"/>
      </bottom>
      <diagonal/>
    </border>
    <border>
      <left style="thin">
        <color theme="2" tint="-0.749961851863155"/>
      </left>
      <right/>
      <top style="medium">
        <color indexed="64"/>
      </top>
      <bottom style="medium">
        <color indexed="64"/>
      </bottom>
      <diagonal/>
    </border>
    <border>
      <left style="hair">
        <color theme="2" tint="-0.749961851863155"/>
      </left>
      <right style="medium">
        <color indexed="64"/>
      </right>
      <top/>
      <bottom style="hair">
        <color theme="2" tint="-0.749961851863155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749961851863155"/>
      </left>
      <right/>
      <top style="medium">
        <color theme="2" tint="-0.749961851863155"/>
      </top>
      <bottom style="medium">
        <color indexed="64"/>
      </bottom>
      <diagonal/>
    </border>
    <border>
      <left/>
      <right/>
      <top style="medium">
        <color theme="2" tint="-0.749961851863155"/>
      </top>
      <bottom style="medium">
        <color indexed="64"/>
      </bottom>
      <diagonal/>
    </border>
    <border>
      <left/>
      <right style="thin">
        <color theme="2" tint="-0.749961851863155"/>
      </right>
      <top style="medium">
        <color theme="2" tint="-0.749961851863155"/>
      </top>
      <bottom style="medium">
        <color indexed="64"/>
      </bottom>
      <diagonal/>
    </border>
    <border>
      <left/>
      <right style="thin">
        <color indexed="64"/>
      </right>
      <top style="medium">
        <color theme="2" tint="-0.749961851863155"/>
      </top>
      <bottom style="medium">
        <color theme="2" tint="-0.749961851863155"/>
      </bottom>
      <diagonal/>
    </border>
    <border>
      <left/>
      <right style="thin">
        <color indexed="64"/>
      </right>
      <top style="medium">
        <color theme="2" tint="-0.749961851863155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7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/>
    </xf>
    <xf numFmtId="167" fontId="2" fillId="2" borderId="10" xfId="0" applyNumberFormat="1" applyFont="1" applyFill="1" applyBorder="1" applyAlignment="1">
      <alignment horizontal="center" vertical="center"/>
    </xf>
    <xf numFmtId="166" fontId="2" fillId="2" borderId="9" xfId="0" applyNumberFormat="1" applyFont="1" applyFill="1" applyBorder="1" applyAlignment="1">
      <alignment horizontal="center" vertical="center"/>
    </xf>
    <xf numFmtId="168" fontId="2" fillId="2" borderId="8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7" fontId="2" fillId="2" borderId="9" xfId="0" applyNumberFormat="1" applyFont="1" applyFill="1" applyBorder="1" applyAlignment="1">
      <alignment horizontal="center" vertical="center"/>
    </xf>
    <xf numFmtId="167" fontId="2" fillId="2" borderId="4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2" borderId="8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 wrapText="1"/>
    </xf>
    <xf numFmtId="166" fontId="2" fillId="4" borderId="8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166" fontId="2" fillId="4" borderId="9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165" fontId="2" fillId="4" borderId="44" xfId="0" applyNumberFormat="1" applyFont="1" applyFill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9" fontId="2" fillId="0" borderId="9" xfId="0" applyNumberFormat="1" applyFont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166" fontId="2" fillId="7" borderId="8" xfId="0" applyNumberFormat="1" applyFont="1" applyFill="1" applyBorder="1" applyAlignment="1">
      <alignment horizontal="center" vertical="center" wrapText="1"/>
    </xf>
    <xf numFmtId="166" fontId="2" fillId="7" borderId="41" xfId="0" applyNumberFormat="1" applyFont="1" applyFill="1" applyBorder="1" applyAlignment="1">
      <alignment horizontal="center" vertical="center" wrapText="1"/>
    </xf>
    <xf numFmtId="166" fontId="2" fillId="8" borderId="41" xfId="0" applyNumberFormat="1" applyFont="1" applyFill="1" applyBorder="1" applyAlignment="1">
      <alignment horizontal="center" vertical="center" wrapText="1"/>
    </xf>
    <xf numFmtId="166" fontId="2" fillId="9" borderId="41" xfId="0" applyNumberFormat="1" applyFont="1" applyFill="1" applyBorder="1" applyAlignment="1">
      <alignment horizontal="center" vertical="center" wrapText="1"/>
    </xf>
    <xf numFmtId="0" fontId="3" fillId="8" borderId="43" xfId="0" applyFont="1" applyFill="1" applyBorder="1" applyAlignment="1">
      <alignment horizontal="center" vertical="center" wrapText="1"/>
    </xf>
    <xf numFmtId="0" fontId="3" fillId="9" borderId="43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10" fillId="0" borderId="0" xfId="0" applyFont="1"/>
    <xf numFmtId="0" fontId="2" fillId="0" borderId="38" xfId="0" applyFont="1" applyBorder="1" applyAlignment="1">
      <alignment horizontal="center" vertical="center"/>
    </xf>
    <xf numFmtId="164" fontId="3" fillId="4" borderId="20" xfId="0" applyNumberFormat="1" applyFont="1" applyFill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15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5" fontId="3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center" vertical="center"/>
    </xf>
    <xf numFmtId="15" fontId="3" fillId="0" borderId="28" xfId="0" applyNumberFormat="1" applyFont="1" applyBorder="1" applyAlignment="1">
      <alignment horizontal="center" vertical="center"/>
    </xf>
    <xf numFmtId="15" fontId="3" fillId="0" borderId="29" xfId="0" applyNumberFormat="1" applyFont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165" fontId="3" fillId="0" borderId="59" xfId="0" applyNumberFormat="1" applyFont="1" applyBorder="1" applyAlignment="1">
      <alignment horizontal="center" vertical="center" wrapText="1"/>
    </xf>
    <xf numFmtId="165" fontId="3" fillId="0" borderId="60" xfId="0" applyNumberFormat="1" applyFont="1" applyBorder="1" applyAlignment="1">
      <alignment horizontal="center" vertical="center" wrapText="1"/>
    </xf>
    <xf numFmtId="165" fontId="3" fillId="0" borderId="61" xfId="0" applyNumberFormat="1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165" fontId="3" fillId="0" borderId="20" xfId="0" applyNumberFormat="1" applyFont="1" applyBorder="1" applyAlignment="1">
      <alignment horizontal="center" vertical="center" wrapText="1"/>
    </xf>
    <xf numFmtId="164" fontId="3" fillId="4" borderId="28" xfId="0" applyNumberFormat="1" applyFont="1" applyFill="1" applyBorder="1" applyAlignment="1">
      <alignment horizontal="center" vertical="center"/>
    </xf>
    <xf numFmtId="164" fontId="3" fillId="4" borderId="42" xfId="0" applyNumberFormat="1" applyFont="1" applyFill="1" applyBorder="1" applyAlignment="1">
      <alignment horizontal="center" vertical="center"/>
    </xf>
    <xf numFmtId="164" fontId="3" fillId="4" borderId="62" xfId="0" applyNumberFormat="1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164" fontId="3" fillId="4" borderId="29" xfId="0" applyNumberFormat="1" applyFont="1" applyFill="1" applyBorder="1" applyAlignment="1">
      <alignment horizontal="center" vertical="center"/>
    </xf>
    <xf numFmtId="165" fontId="3" fillId="0" borderId="63" xfId="0" applyNumberFormat="1" applyFont="1" applyBorder="1" applyAlignment="1">
      <alignment horizontal="center" vertical="center" wrapText="1"/>
    </xf>
    <xf numFmtId="164" fontId="3" fillId="4" borderId="56" xfId="0" applyNumberFormat="1" applyFont="1" applyFill="1" applyBorder="1" applyAlignment="1">
      <alignment horizontal="center" vertical="center"/>
    </xf>
    <xf numFmtId="164" fontId="3" fillId="4" borderId="57" xfId="0" applyNumberFormat="1" applyFont="1" applyFill="1" applyBorder="1" applyAlignment="1">
      <alignment horizontal="center" vertical="center"/>
    </xf>
    <xf numFmtId="164" fontId="3" fillId="4" borderId="58" xfId="0" applyNumberFormat="1" applyFont="1" applyFill="1" applyBorder="1" applyAlignment="1">
      <alignment horizontal="center" vertical="center"/>
    </xf>
    <xf numFmtId="165" fontId="3" fillId="0" borderId="56" xfId="0" applyNumberFormat="1" applyFont="1" applyBorder="1" applyAlignment="1">
      <alignment horizontal="center" vertical="center" wrapText="1"/>
    </xf>
    <xf numFmtId="165" fontId="3" fillId="0" borderId="57" xfId="0" applyNumberFormat="1" applyFont="1" applyBorder="1" applyAlignment="1">
      <alignment horizontal="center" vertical="center" wrapText="1"/>
    </xf>
    <xf numFmtId="165" fontId="3" fillId="0" borderId="5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rkPro"/>
        <family val="2"/>
        <scheme val="none"/>
      </font>
    </dxf>
  </dxfs>
  <tableStyles count="0" defaultTableStyle="TableStyleMedium2" defaultPivotStyle="PivotStyleLight16"/>
  <colors>
    <mruColors>
      <color rgb="FFFF7171"/>
      <color rgb="FFFF3F3F"/>
      <color rgb="FF8A00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6F59C-B7E8-4E2B-83CB-290C88E47753}" name="Table1" displayName="Table1" ref="A1:A21" totalsRowShown="0" headerRowDxfId="0">
  <autoFilter ref="A1:A21" xr:uid="{D306F59C-B7E8-4E2B-83CB-290C88E47753}"/>
  <tableColumns count="1">
    <tableColumn id="1" xr3:uid="{4B9D3BA0-F106-4164-8374-E07E39B73255}" name="List of Bank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9A93-CB46-456F-9088-65DD3C276ED6}">
  <sheetPr>
    <tabColor theme="0" tint="-0.249977111117893"/>
  </sheetPr>
  <dimension ref="B2:FW32"/>
  <sheetViews>
    <sheetView showGridLines="0" topLeftCell="A170" zoomScale="93" zoomScaleNormal="93" workbookViewId="0">
      <pane xSplit="3" topLeftCell="D170" activePane="topRight" state="frozen"/>
      <selection activeCell="A170" sqref="A170"/>
      <selection pane="topRight" activeCell="B3" sqref="B3:B5"/>
    </sheetView>
  </sheetViews>
  <sheetFormatPr defaultColWidth="5.6484375" defaultRowHeight="14.25" outlineLevelCol="1"/>
  <cols>
    <col min="1" max="1" width="0.94140625" style="1" customWidth="1"/>
    <col min="2" max="2" width="5.24609375" style="3" bestFit="1" customWidth="1"/>
    <col min="3" max="3" width="20.84765625" style="1" customWidth="1"/>
    <col min="4" max="4" width="9.68359375" style="1" customWidth="1"/>
    <col min="5" max="5" width="15.73828125" style="1" customWidth="1"/>
    <col min="6" max="6" width="9.01171875" style="1" bestFit="1" customWidth="1"/>
    <col min="7" max="7" width="9.4140625" style="1" customWidth="1"/>
    <col min="8" max="8" width="9.14453125" style="1" customWidth="1"/>
    <col min="9" max="100" width="4.70703125" style="3" customWidth="1"/>
    <col min="101" max="101" width="5.6484375" style="1"/>
    <col min="102" max="107" width="5.6484375" style="3"/>
    <col min="108" max="121" width="5.6484375" style="3" customWidth="1"/>
    <col min="122" max="122" width="5.6484375" style="1" customWidth="1"/>
    <col min="123" max="138" width="5.6484375" style="3" customWidth="1"/>
    <col min="139" max="139" width="5.6484375" style="1"/>
    <col min="140" max="154" width="8.47265625" style="3" customWidth="1"/>
    <col min="155" max="155" width="5.6484375" style="1"/>
    <col min="156" max="161" width="6.9921875" style="3" customWidth="1"/>
    <col min="162" max="162" width="2.6875" style="1" customWidth="1"/>
    <col min="163" max="164" width="7.3984375" style="3" customWidth="1"/>
    <col min="165" max="165" width="2.6875" style="1" customWidth="1"/>
    <col min="166" max="166" width="6.9921875" style="3" customWidth="1" outlineLevel="1"/>
    <col min="167" max="167" width="7.12890625" style="3" customWidth="1" outlineLevel="1"/>
    <col min="168" max="168" width="2.6875" style="1" customWidth="1" outlineLevel="1"/>
    <col min="169" max="170" width="8.7421875" style="3" customWidth="1" outlineLevel="1"/>
    <col min="171" max="172" width="9.28125" style="3" customWidth="1" outlineLevel="1"/>
    <col min="173" max="173" width="2.6875" style="1" customWidth="1" outlineLevel="1"/>
    <col min="174" max="176" width="10.625" style="3" customWidth="1" outlineLevel="1"/>
    <col min="177" max="177" width="2.6875" style="1" customWidth="1" outlineLevel="1"/>
    <col min="178" max="179" width="10.625" style="3" customWidth="1" outlineLevel="1"/>
    <col min="180" max="16384" width="5.6484375" style="1"/>
  </cols>
  <sheetData>
    <row r="2" spans="2:179" ht="14.45" customHeight="1" thickBot="1"/>
    <row r="3" spans="2:179" ht="33.75" customHeight="1" thickBot="1">
      <c r="B3" s="104" t="s">
        <v>0</v>
      </c>
      <c r="C3" s="91" t="s">
        <v>36</v>
      </c>
      <c r="D3" s="91" t="s">
        <v>1</v>
      </c>
      <c r="E3" s="91" t="s">
        <v>2</v>
      </c>
      <c r="F3" s="91" t="s">
        <v>50</v>
      </c>
      <c r="G3" s="91" t="s">
        <v>3</v>
      </c>
      <c r="H3" s="97" t="s">
        <v>37</v>
      </c>
      <c r="I3" s="88">
        <f>I4</f>
        <v>45737</v>
      </c>
      <c r="J3" s="82"/>
      <c r="K3" s="82"/>
      <c r="L3" s="82"/>
      <c r="M3" s="82">
        <f t="shared" ref="M3" si="0">M4</f>
        <v>45740</v>
      </c>
      <c r="N3" s="82"/>
      <c r="O3" s="82"/>
      <c r="P3" s="82"/>
      <c r="Q3" s="82">
        <f t="shared" ref="Q3" si="1">Q4</f>
        <v>45741</v>
      </c>
      <c r="R3" s="82"/>
      <c r="S3" s="82"/>
      <c r="T3" s="82"/>
      <c r="U3" s="82">
        <f t="shared" ref="U3" si="2">U4</f>
        <v>45742</v>
      </c>
      <c r="V3" s="82"/>
      <c r="W3" s="82"/>
      <c r="X3" s="82"/>
      <c r="Y3" s="82">
        <f t="shared" ref="Y3" si="3">Y4</f>
        <v>45743</v>
      </c>
      <c r="Z3" s="82"/>
      <c r="AA3" s="82"/>
      <c r="AB3" s="82"/>
      <c r="AC3" s="82">
        <f t="shared" ref="AC3" si="4">AC4</f>
        <v>45744</v>
      </c>
      <c r="AD3" s="82"/>
      <c r="AE3" s="82"/>
      <c r="AF3" s="82"/>
      <c r="AG3" s="82">
        <f t="shared" ref="AG3" si="5">AG4</f>
        <v>45747</v>
      </c>
      <c r="AH3" s="82"/>
      <c r="AI3" s="82"/>
      <c r="AJ3" s="82"/>
      <c r="AK3" s="82">
        <f t="shared" ref="AK3" si="6">AK4</f>
        <v>45748</v>
      </c>
      <c r="AL3" s="82"/>
      <c r="AM3" s="82"/>
      <c r="AN3" s="82"/>
      <c r="AO3" s="82">
        <f t="shared" ref="AO3" si="7">AO4</f>
        <v>45749</v>
      </c>
      <c r="AP3" s="82"/>
      <c r="AQ3" s="82"/>
      <c r="AR3" s="82"/>
      <c r="AS3" s="82">
        <f t="shared" ref="AS3" si="8">AS4</f>
        <v>45750</v>
      </c>
      <c r="AT3" s="82"/>
      <c r="AU3" s="82"/>
      <c r="AV3" s="82"/>
      <c r="AW3" s="82">
        <f t="shared" ref="AW3" si="9">AW4</f>
        <v>45751</v>
      </c>
      <c r="AX3" s="82"/>
      <c r="AY3" s="82"/>
      <c r="AZ3" s="82"/>
      <c r="BA3" s="82">
        <f t="shared" ref="BA3" si="10">BA4</f>
        <v>45754</v>
      </c>
      <c r="BB3" s="82"/>
      <c r="BC3" s="82"/>
      <c r="BD3" s="82"/>
      <c r="BE3" s="82">
        <f t="shared" ref="BE3" si="11">BE4</f>
        <v>45755</v>
      </c>
      <c r="BF3" s="82"/>
      <c r="BG3" s="82"/>
      <c r="BH3" s="82"/>
      <c r="BI3" s="82">
        <f t="shared" ref="BI3" si="12">BI4</f>
        <v>45756</v>
      </c>
      <c r="BJ3" s="82"/>
      <c r="BK3" s="82"/>
      <c r="BL3" s="82"/>
      <c r="BM3" s="82">
        <f t="shared" ref="BM3" si="13">BM4</f>
        <v>45757</v>
      </c>
      <c r="BN3" s="82"/>
      <c r="BO3" s="82"/>
      <c r="BP3" s="82"/>
      <c r="BQ3" s="82">
        <f t="shared" ref="BQ3" si="14">BQ4</f>
        <v>45758</v>
      </c>
      <c r="BR3" s="82"/>
      <c r="BS3" s="82"/>
      <c r="BT3" s="82"/>
      <c r="BU3" s="82">
        <f t="shared" ref="BU3" si="15">BU4</f>
        <v>45761</v>
      </c>
      <c r="BV3" s="82"/>
      <c r="BW3" s="82"/>
      <c r="BX3" s="82"/>
      <c r="BY3" s="82">
        <f t="shared" ref="BY3" si="16">BY4</f>
        <v>45762</v>
      </c>
      <c r="BZ3" s="82"/>
      <c r="CA3" s="82"/>
      <c r="CB3" s="82"/>
      <c r="CC3" s="82">
        <f t="shared" ref="CC3" si="17">CC4</f>
        <v>45763</v>
      </c>
      <c r="CD3" s="82"/>
      <c r="CE3" s="82"/>
      <c r="CF3" s="82"/>
      <c r="CG3" s="82">
        <f t="shared" ref="CG3" si="18">CG4</f>
        <v>45764</v>
      </c>
      <c r="CH3" s="82"/>
      <c r="CI3" s="82"/>
      <c r="CJ3" s="82"/>
      <c r="CK3" s="101">
        <f t="shared" ref="CK3" si="19">CK4</f>
        <v>45765</v>
      </c>
      <c r="CL3" s="102"/>
      <c r="CM3" s="102"/>
      <c r="CN3" s="119"/>
      <c r="CO3" s="101"/>
      <c r="CP3" s="102"/>
      <c r="CQ3" s="102"/>
      <c r="CR3" s="103"/>
      <c r="CS3" s="121"/>
      <c r="CT3" s="122"/>
      <c r="CU3" s="122"/>
      <c r="CV3" s="123"/>
      <c r="CX3" s="88">
        <f>CX$4</f>
        <v>45738</v>
      </c>
      <c r="CY3" s="82"/>
      <c r="CZ3" s="82">
        <f>CZ$4</f>
        <v>45739</v>
      </c>
      <c r="DA3" s="82"/>
      <c r="DB3" s="82">
        <f>DB$4</f>
        <v>45745</v>
      </c>
      <c r="DC3" s="82"/>
      <c r="DD3" s="82">
        <f>DD$4</f>
        <v>45746</v>
      </c>
      <c r="DE3" s="82"/>
      <c r="DF3" s="82">
        <f>DF$4</f>
        <v>45752</v>
      </c>
      <c r="DG3" s="82"/>
      <c r="DH3" s="82">
        <f>DH$4</f>
        <v>45753</v>
      </c>
      <c r="DI3" s="82"/>
      <c r="DJ3" s="82">
        <f>DJ$4</f>
        <v>45759</v>
      </c>
      <c r="DK3" s="82"/>
      <c r="DL3" s="82">
        <f>DL$4</f>
        <v>45760</v>
      </c>
      <c r="DM3" s="82"/>
      <c r="DN3" s="82" t="s">
        <v>117</v>
      </c>
      <c r="DO3" s="82"/>
      <c r="DP3" s="82" t="s">
        <v>118</v>
      </c>
      <c r="DQ3" s="82"/>
      <c r="DR3" s="2"/>
      <c r="DS3" s="88">
        <f>DS$4</f>
        <v>45747</v>
      </c>
      <c r="DT3" s="82"/>
      <c r="DU3" s="82">
        <f t="shared" ref="DU3" si="20">DU$4</f>
        <v>45748</v>
      </c>
      <c r="DV3" s="82"/>
      <c r="DW3" s="82">
        <f t="shared" ref="DW3" si="21">DW$4</f>
        <v>45765</v>
      </c>
      <c r="DX3" s="82"/>
      <c r="DY3" s="82">
        <f t="shared" ref="DY3" si="22">DY$4</f>
        <v>45767</v>
      </c>
      <c r="DZ3" s="82"/>
      <c r="EA3" s="82">
        <f t="shared" ref="EA3" si="23">EA$4</f>
        <v>0</v>
      </c>
      <c r="EB3" s="82"/>
      <c r="EC3" s="82">
        <f t="shared" ref="EC3" si="24">EC$4</f>
        <v>0</v>
      </c>
      <c r="ED3" s="82"/>
      <c r="EE3" s="82">
        <f t="shared" ref="EE3" si="25">EE$4</f>
        <v>0</v>
      </c>
      <c r="EF3" s="82"/>
      <c r="EG3" s="82">
        <f t="shared" ref="EG3" si="26">EG$4</f>
        <v>0</v>
      </c>
      <c r="EH3" s="83"/>
      <c r="EI3" s="2"/>
      <c r="EZ3" s="108" t="s">
        <v>42</v>
      </c>
      <c r="FA3" s="109"/>
      <c r="FB3" s="108" t="s">
        <v>41</v>
      </c>
      <c r="FC3" s="109"/>
      <c r="FD3" s="108" t="s">
        <v>48</v>
      </c>
      <c r="FE3" s="109"/>
      <c r="FG3" s="108" t="s">
        <v>51</v>
      </c>
      <c r="FH3" s="109"/>
      <c r="FJ3" s="108" t="s">
        <v>55</v>
      </c>
      <c r="FK3" s="109"/>
      <c r="FM3" s="108" t="s">
        <v>66</v>
      </c>
      <c r="FN3" s="110"/>
      <c r="FO3" s="110"/>
      <c r="FP3" s="109"/>
      <c r="FR3" s="108" t="s">
        <v>58</v>
      </c>
      <c r="FS3" s="110"/>
      <c r="FT3" s="109"/>
      <c r="FV3" s="115" t="s">
        <v>65</v>
      </c>
      <c r="FW3" s="116"/>
    </row>
    <row r="4" spans="2:179" ht="38.25" thickBot="1">
      <c r="B4" s="105"/>
      <c r="C4" s="92"/>
      <c r="D4" s="92"/>
      <c r="E4" s="92"/>
      <c r="F4" s="92"/>
      <c r="G4" s="92"/>
      <c r="H4" s="98"/>
      <c r="I4" s="107">
        <v>45737</v>
      </c>
      <c r="J4" s="100"/>
      <c r="K4" s="100"/>
      <c r="L4" s="100"/>
      <c r="M4" s="100">
        <f>I4+3</f>
        <v>45740</v>
      </c>
      <c r="N4" s="100"/>
      <c r="O4" s="100"/>
      <c r="P4" s="100"/>
      <c r="Q4" s="100">
        <f t="shared" ref="Q4" si="27">M$4+1</f>
        <v>45741</v>
      </c>
      <c r="R4" s="100"/>
      <c r="S4" s="100"/>
      <c r="T4" s="100"/>
      <c r="U4" s="100">
        <f t="shared" ref="U4" si="28">Q$4+1</f>
        <v>45742</v>
      </c>
      <c r="V4" s="100"/>
      <c r="W4" s="100"/>
      <c r="X4" s="100"/>
      <c r="Y4" s="94">
        <f>U4+1</f>
        <v>45743</v>
      </c>
      <c r="Z4" s="95"/>
      <c r="AA4" s="95"/>
      <c r="AB4" s="96"/>
      <c r="AC4" s="94">
        <f>Y$4+1</f>
        <v>45744</v>
      </c>
      <c r="AD4" s="95"/>
      <c r="AE4" s="95"/>
      <c r="AF4" s="96"/>
      <c r="AG4" s="94">
        <f>AC4+3</f>
        <v>45747</v>
      </c>
      <c r="AH4" s="95"/>
      <c r="AI4" s="95"/>
      <c r="AJ4" s="96"/>
      <c r="AK4" s="94">
        <f t="shared" ref="AK4" si="29">AG$4+1</f>
        <v>45748</v>
      </c>
      <c r="AL4" s="95"/>
      <c r="AM4" s="95"/>
      <c r="AN4" s="96"/>
      <c r="AO4" s="94">
        <f t="shared" ref="AO4" si="30">AK$4+1</f>
        <v>45749</v>
      </c>
      <c r="AP4" s="95"/>
      <c r="AQ4" s="95"/>
      <c r="AR4" s="96"/>
      <c r="AS4" s="94">
        <f>AO4+1</f>
        <v>45750</v>
      </c>
      <c r="AT4" s="95"/>
      <c r="AU4" s="95"/>
      <c r="AV4" s="96"/>
      <c r="AW4" s="94">
        <f>AS$4+1</f>
        <v>45751</v>
      </c>
      <c r="AX4" s="95"/>
      <c r="AY4" s="95"/>
      <c r="AZ4" s="96"/>
      <c r="BA4" s="94">
        <f>AW4+3</f>
        <v>45754</v>
      </c>
      <c r="BB4" s="95"/>
      <c r="BC4" s="95"/>
      <c r="BD4" s="96"/>
      <c r="BE4" s="94">
        <f t="shared" ref="BE4" si="31">BA$4+1</f>
        <v>45755</v>
      </c>
      <c r="BF4" s="95"/>
      <c r="BG4" s="95"/>
      <c r="BH4" s="96"/>
      <c r="BI4" s="94">
        <f t="shared" ref="BI4" si="32">BE$4+1</f>
        <v>45756</v>
      </c>
      <c r="BJ4" s="95"/>
      <c r="BK4" s="95"/>
      <c r="BL4" s="96"/>
      <c r="BM4" s="94">
        <f>BI4+1</f>
        <v>45757</v>
      </c>
      <c r="BN4" s="95"/>
      <c r="BO4" s="95"/>
      <c r="BP4" s="96"/>
      <c r="BQ4" s="94">
        <f>BM$4+1</f>
        <v>45758</v>
      </c>
      <c r="BR4" s="95"/>
      <c r="BS4" s="95"/>
      <c r="BT4" s="96"/>
      <c r="BU4" s="94">
        <f>BQ4+3</f>
        <v>45761</v>
      </c>
      <c r="BV4" s="95"/>
      <c r="BW4" s="95"/>
      <c r="BX4" s="96"/>
      <c r="BY4" s="94">
        <f t="shared" ref="BY4" si="33">BU$4+1</f>
        <v>45762</v>
      </c>
      <c r="BZ4" s="95"/>
      <c r="CA4" s="95"/>
      <c r="CB4" s="96"/>
      <c r="CC4" s="94">
        <f t="shared" ref="CC4" si="34">BY$4+1</f>
        <v>45763</v>
      </c>
      <c r="CD4" s="95"/>
      <c r="CE4" s="95"/>
      <c r="CF4" s="96"/>
      <c r="CG4" s="100">
        <f>CC4+1</f>
        <v>45764</v>
      </c>
      <c r="CH4" s="100"/>
      <c r="CI4" s="100"/>
      <c r="CJ4" s="100"/>
      <c r="CK4" s="94">
        <f>CG4+1</f>
        <v>45765</v>
      </c>
      <c r="CL4" s="95"/>
      <c r="CM4" s="95"/>
      <c r="CN4" s="96"/>
      <c r="CO4" s="94"/>
      <c r="CP4" s="95"/>
      <c r="CQ4" s="95"/>
      <c r="CR4" s="120"/>
      <c r="CS4" s="124"/>
      <c r="CT4" s="125"/>
      <c r="CU4" s="125"/>
      <c r="CV4" s="126"/>
      <c r="CX4" s="84">
        <v>45738</v>
      </c>
      <c r="CY4" s="85"/>
      <c r="CZ4" s="84">
        <v>45739</v>
      </c>
      <c r="DA4" s="85"/>
      <c r="DB4" s="89">
        <f>CZ$4+6</f>
        <v>45745</v>
      </c>
      <c r="DC4" s="90"/>
      <c r="DD4" s="89">
        <f>DB$4+1</f>
        <v>45746</v>
      </c>
      <c r="DE4" s="90"/>
      <c r="DF4" s="89">
        <f>DD$4+6</f>
        <v>45752</v>
      </c>
      <c r="DG4" s="90"/>
      <c r="DH4" s="89">
        <f>DF$4+1</f>
        <v>45753</v>
      </c>
      <c r="DI4" s="90"/>
      <c r="DJ4" s="89">
        <f>DH$4+6</f>
        <v>45759</v>
      </c>
      <c r="DK4" s="90"/>
      <c r="DL4" s="89">
        <f>DJ$4+1</f>
        <v>45760</v>
      </c>
      <c r="DM4" s="90"/>
      <c r="DN4" s="89">
        <f>DL4+6</f>
        <v>45766</v>
      </c>
      <c r="DO4" s="90"/>
      <c r="DP4" s="89">
        <f>DN4+1</f>
        <v>45767</v>
      </c>
      <c r="DQ4" s="90"/>
      <c r="DR4" s="3"/>
      <c r="DS4" s="84">
        <v>45747</v>
      </c>
      <c r="DT4" s="85"/>
      <c r="DU4" s="86">
        <v>45748</v>
      </c>
      <c r="DV4" s="85"/>
      <c r="DW4" s="86">
        <v>45765</v>
      </c>
      <c r="DX4" s="85"/>
      <c r="DY4" s="86">
        <v>45767</v>
      </c>
      <c r="DZ4" s="85"/>
      <c r="EA4" s="86"/>
      <c r="EB4" s="85"/>
      <c r="EC4" s="86"/>
      <c r="ED4" s="85"/>
      <c r="EE4" s="86"/>
      <c r="EF4" s="85"/>
      <c r="EG4" s="86"/>
      <c r="EH4" s="87"/>
      <c r="EI4" s="3"/>
      <c r="EJ4" s="9" t="s">
        <v>20</v>
      </c>
      <c r="EK4" s="10" t="s">
        <v>30</v>
      </c>
      <c r="EL4" s="10" t="s">
        <v>29</v>
      </c>
      <c r="EM4" s="10" t="s">
        <v>21</v>
      </c>
      <c r="EN4" s="10" t="s">
        <v>92</v>
      </c>
      <c r="EO4" s="10" t="s">
        <v>27</v>
      </c>
      <c r="EP4" s="10" t="s">
        <v>28</v>
      </c>
      <c r="EQ4" s="10" t="s">
        <v>53</v>
      </c>
      <c r="ER4" s="10" t="s">
        <v>34</v>
      </c>
      <c r="ES4" s="10" t="s">
        <v>22</v>
      </c>
      <c r="ET4" s="10" t="s">
        <v>23</v>
      </c>
      <c r="EU4" s="10" t="s">
        <v>24</v>
      </c>
      <c r="EV4" s="10" t="s">
        <v>26</v>
      </c>
      <c r="EW4" s="10" t="s">
        <v>31</v>
      </c>
      <c r="EX4" s="11" t="s">
        <v>25</v>
      </c>
      <c r="EZ4" s="9" t="s">
        <v>44</v>
      </c>
      <c r="FA4" s="11" t="s">
        <v>45</v>
      </c>
      <c r="FB4" s="9" t="s">
        <v>44</v>
      </c>
      <c r="FC4" s="11" t="s">
        <v>45</v>
      </c>
      <c r="FD4" s="9" t="s">
        <v>44</v>
      </c>
      <c r="FE4" s="11" t="s">
        <v>45</v>
      </c>
      <c r="FG4" s="9" t="s">
        <v>44</v>
      </c>
      <c r="FH4" s="11" t="s">
        <v>45</v>
      </c>
      <c r="FJ4" s="9" t="s">
        <v>44</v>
      </c>
      <c r="FK4" s="11" t="s">
        <v>56</v>
      </c>
      <c r="FM4" s="9" t="s">
        <v>42</v>
      </c>
      <c r="FN4" s="10" t="s">
        <v>41</v>
      </c>
      <c r="FO4" s="11" t="s">
        <v>48</v>
      </c>
      <c r="FP4" s="117" t="s">
        <v>70</v>
      </c>
      <c r="FR4" s="9" t="s">
        <v>59</v>
      </c>
      <c r="FS4" s="10" t="s">
        <v>60</v>
      </c>
      <c r="FT4" s="11" t="s">
        <v>60</v>
      </c>
      <c r="FV4" s="111" t="s">
        <v>63</v>
      </c>
      <c r="FW4" s="113" t="s">
        <v>64</v>
      </c>
    </row>
    <row r="5" spans="2:179" s="4" customFormat="1" ht="56.25" thickBot="1">
      <c r="B5" s="106"/>
      <c r="C5" s="93"/>
      <c r="D5" s="93"/>
      <c r="E5" s="93"/>
      <c r="F5" s="93"/>
      <c r="G5" s="93"/>
      <c r="H5" s="99"/>
      <c r="I5" s="66" t="s">
        <v>4</v>
      </c>
      <c r="J5" s="67" t="s">
        <v>5</v>
      </c>
      <c r="K5" s="68" t="s">
        <v>6</v>
      </c>
      <c r="L5" s="67" t="s">
        <v>7</v>
      </c>
      <c r="M5" s="68" t="s">
        <v>4</v>
      </c>
      <c r="N5" s="67" t="s">
        <v>5</v>
      </c>
      <c r="O5" s="68" t="s">
        <v>6</v>
      </c>
      <c r="P5" s="67" t="s">
        <v>7</v>
      </c>
      <c r="Q5" s="68" t="s">
        <v>4</v>
      </c>
      <c r="R5" s="67" t="s">
        <v>5</v>
      </c>
      <c r="S5" s="68" t="s">
        <v>6</v>
      </c>
      <c r="T5" s="67" t="s">
        <v>7</v>
      </c>
      <c r="U5" s="68" t="s">
        <v>4</v>
      </c>
      <c r="V5" s="67" t="s">
        <v>5</v>
      </c>
      <c r="W5" s="68" t="s">
        <v>6</v>
      </c>
      <c r="X5" s="67" t="s">
        <v>7</v>
      </c>
      <c r="Y5" s="68" t="s">
        <v>4</v>
      </c>
      <c r="Z5" s="67" t="s">
        <v>5</v>
      </c>
      <c r="AA5" s="68" t="s">
        <v>6</v>
      </c>
      <c r="AB5" s="67" t="s">
        <v>7</v>
      </c>
      <c r="AC5" s="68" t="s">
        <v>4</v>
      </c>
      <c r="AD5" s="67" t="s">
        <v>5</v>
      </c>
      <c r="AE5" s="68" t="s">
        <v>6</v>
      </c>
      <c r="AF5" s="67" t="s">
        <v>7</v>
      </c>
      <c r="AG5" s="68" t="s">
        <v>4</v>
      </c>
      <c r="AH5" s="67" t="s">
        <v>5</v>
      </c>
      <c r="AI5" s="68" t="s">
        <v>6</v>
      </c>
      <c r="AJ5" s="67" t="s">
        <v>7</v>
      </c>
      <c r="AK5" s="68" t="s">
        <v>4</v>
      </c>
      <c r="AL5" s="67" t="s">
        <v>5</v>
      </c>
      <c r="AM5" s="68" t="s">
        <v>6</v>
      </c>
      <c r="AN5" s="67" t="s">
        <v>7</v>
      </c>
      <c r="AO5" s="68" t="s">
        <v>4</v>
      </c>
      <c r="AP5" s="67" t="s">
        <v>5</v>
      </c>
      <c r="AQ5" s="68" t="s">
        <v>6</v>
      </c>
      <c r="AR5" s="67" t="s">
        <v>7</v>
      </c>
      <c r="AS5" s="68" t="s">
        <v>4</v>
      </c>
      <c r="AT5" s="67" t="s">
        <v>5</v>
      </c>
      <c r="AU5" s="68" t="s">
        <v>6</v>
      </c>
      <c r="AV5" s="67" t="s">
        <v>7</v>
      </c>
      <c r="AW5" s="68" t="s">
        <v>4</v>
      </c>
      <c r="AX5" s="67" t="s">
        <v>5</v>
      </c>
      <c r="AY5" s="68" t="s">
        <v>6</v>
      </c>
      <c r="AZ5" s="67" t="s">
        <v>7</v>
      </c>
      <c r="BA5" s="68" t="s">
        <v>4</v>
      </c>
      <c r="BB5" s="67" t="s">
        <v>5</v>
      </c>
      <c r="BC5" s="68" t="s">
        <v>6</v>
      </c>
      <c r="BD5" s="67" t="s">
        <v>7</v>
      </c>
      <c r="BE5" s="68" t="s">
        <v>4</v>
      </c>
      <c r="BF5" s="67" t="s">
        <v>5</v>
      </c>
      <c r="BG5" s="68" t="s">
        <v>6</v>
      </c>
      <c r="BH5" s="67" t="s">
        <v>7</v>
      </c>
      <c r="BI5" s="68" t="s">
        <v>4</v>
      </c>
      <c r="BJ5" s="67" t="s">
        <v>5</v>
      </c>
      <c r="BK5" s="68" t="s">
        <v>6</v>
      </c>
      <c r="BL5" s="67" t="s">
        <v>7</v>
      </c>
      <c r="BM5" s="68" t="s">
        <v>4</v>
      </c>
      <c r="BN5" s="67" t="s">
        <v>5</v>
      </c>
      <c r="BO5" s="68" t="s">
        <v>6</v>
      </c>
      <c r="BP5" s="67" t="s">
        <v>7</v>
      </c>
      <c r="BQ5" s="68" t="s">
        <v>4</v>
      </c>
      <c r="BR5" s="67" t="s">
        <v>5</v>
      </c>
      <c r="BS5" s="68" t="s">
        <v>6</v>
      </c>
      <c r="BT5" s="67" t="s">
        <v>7</v>
      </c>
      <c r="BU5" s="68" t="s">
        <v>4</v>
      </c>
      <c r="BV5" s="67" t="s">
        <v>5</v>
      </c>
      <c r="BW5" s="68" t="s">
        <v>6</v>
      </c>
      <c r="BX5" s="67" t="s">
        <v>7</v>
      </c>
      <c r="BY5" s="68" t="s">
        <v>4</v>
      </c>
      <c r="BZ5" s="67" t="s">
        <v>5</v>
      </c>
      <c r="CA5" s="68" t="s">
        <v>6</v>
      </c>
      <c r="CB5" s="67" t="s">
        <v>7</v>
      </c>
      <c r="CC5" s="68" t="s">
        <v>4</v>
      </c>
      <c r="CD5" s="67" t="s">
        <v>5</v>
      </c>
      <c r="CE5" s="68" t="s">
        <v>6</v>
      </c>
      <c r="CF5" s="67" t="s">
        <v>7</v>
      </c>
      <c r="CG5" s="68" t="s">
        <v>4</v>
      </c>
      <c r="CH5" s="67" t="s">
        <v>5</v>
      </c>
      <c r="CI5" s="68" t="s">
        <v>6</v>
      </c>
      <c r="CJ5" s="67" t="s">
        <v>7</v>
      </c>
      <c r="CK5" s="68" t="s">
        <v>4</v>
      </c>
      <c r="CL5" s="67" t="s">
        <v>5</v>
      </c>
      <c r="CM5" s="68" t="s">
        <v>6</v>
      </c>
      <c r="CN5" s="67" t="s">
        <v>7</v>
      </c>
      <c r="CO5" s="68" t="s">
        <v>4</v>
      </c>
      <c r="CP5" s="67" t="s">
        <v>5</v>
      </c>
      <c r="CQ5" s="68" t="s">
        <v>6</v>
      </c>
      <c r="CR5" s="67" t="s">
        <v>7</v>
      </c>
      <c r="CS5" s="69" t="s">
        <v>4</v>
      </c>
      <c r="CT5" s="67" t="s">
        <v>5</v>
      </c>
      <c r="CU5" s="70" t="s">
        <v>6</v>
      </c>
      <c r="CV5" s="63" t="s">
        <v>7</v>
      </c>
      <c r="CX5" s="25" t="s">
        <v>32</v>
      </c>
      <c r="CY5" s="26" t="s">
        <v>33</v>
      </c>
      <c r="CZ5" s="27" t="s">
        <v>32</v>
      </c>
      <c r="DA5" s="26" t="s">
        <v>33</v>
      </c>
      <c r="DB5" s="27" t="s">
        <v>32</v>
      </c>
      <c r="DC5" s="26" t="s">
        <v>33</v>
      </c>
      <c r="DD5" s="27" t="s">
        <v>32</v>
      </c>
      <c r="DE5" s="26" t="s">
        <v>33</v>
      </c>
      <c r="DF5" s="27" t="s">
        <v>32</v>
      </c>
      <c r="DG5" s="26" t="s">
        <v>33</v>
      </c>
      <c r="DH5" s="27" t="s">
        <v>32</v>
      </c>
      <c r="DI5" s="26" t="s">
        <v>33</v>
      </c>
      <c r="DJ5" s="27" t="s">
        <v>32</v>
      </c>
      <c r="DK5" s="26" t="s">
        <v>33</v>
      </c>
      <c r="DL5" s="27" t="s">
        <v>32</v>
      </c>
      <c r="DM5" s="26" t="s">
        <v>33</v>
      </c>
      <c r="DN5" s="27" t="s">
        <v>32</v>
      </c>
      <c r="DO5" s="26" t="s">
        <v>33</v>
      </c>
      <c r="DP5" s="27" t="s">
        <v>32</v>
      </c>
      <c r="DQ5" s="28" t="s">
        <v>33</v>
      </c>
      <c r="DS5" s="21" t="s">
        <v>38</v>
      </c>
      <c r="DT5" s="22" t="s">
        <v>39</v>
      </c>
      <c r="DU5" s="23" t="s">
        <v>38</v>
      </c>
      <c r="DV5" s="22" t="s">
        <v>39</v>
      </c>
      <c r="DW5" s="23" t="s">
        <v>38</v>
      </c>
      <c r="DX5" s="22" t="s">
        <v>39</v>
      </c>
      <c r="DY5" s="23" t="s">
        <v>38</v>
      </c>
      <c r="DZ5" s="22" t="s">
        <v>39</v>
      </c>
      <c r="EA5" s="23" t="s">
        <v>38</v>
      </c>
      <c r="EB5" s="22" t="s">
        <v>39</v>
      </c>
      <c r="EC5" s="23" t="s">
        <v>38</v>
      </c>
      <c r="ED5" s="22" t="s">
        <v>39</v>
      </c>
      <c r="EE5" s="23" t="s">
        <v>38</v>
      </c>
      <c r="EF5" s="22" t="s">
        <v>39</v>
      </c>
      <c r="EG5" s="23" t="s">
        <v>38</v>
      </c>
      <c r="EH5" s="24" t="s">
        <v>39</v>
      </c>
      <c r="EJ5" s="18" t="s">
        <v>8</v>
      </c>
      <c r="EK5" s="20" t="s">
        <v>9</v>
      </c>
      <c r="EL5" s="20" t="s">
        <v>10</v>
      </c>
      <c r="EM5" s="20" t="s">
        <v>11</v>
      </c>
      <c r="EN5" s="20" t="s">
        <v>93</v>
      </c>
      <c r="EO5" s="20" t="s">
        <v>12</v>
      </c>
      <c r="EP5" s="20" t="s">
        <v>13</v>
      </c>
      <c r="EQ5" s="20" t="s">
        <v>54</v>
      </c>
      <c r="ER5" s="20" t="s">
        <v>35</v>
      </c>
      <c r="ES5" s="20" t="s">
        <v>14</v>
      </c>
      <c r="ET5" s="20" t="s">
        <v>15</v>
      </c>
      <c r="EU5" s="20" t="s">
        <v>16</v>
      </c>
      <c r="EV5" s="20" t="s">
        <v>17</v>
      </c>
      <c r="EW5" s="20" t="s">
        <v>18</v>
      </c>
      <c r="EX5" s="19" t="s">
        <v>19</v>
      </c>
      <c r="EZ5" s="18" t="s">
        <v>43</v>
      </c>
      <c r="FA5" s="19" t="s">
        <v>46</v>
      </c>
      <c r="FB5" s="18" t="s">
        <v>40</v>
      </c>
      <c r="FC5" s="19" t="s">
        <v>47</v>
      </c>
      <c r="FD5" s="18" t="s">
        <v>13</v>
      </c>
      <c r="FE5" s="19" t="s">
        <v>49</v>
      </c>
      <c r="FG5" s="18" t="s">
        <v>94</v>
      </c>
      <c r="FH5" s="19" t="s">
        <v>94</v>
      </c>
      <c r="FJ5" s="18" t="s">
        <v>52</v>
      </c>
      <c r="FK5" s="19" t="s">
        <v>57</v>
      </c>
      <c r="FM5" s="30" t="s">
        <v>67</v>
      </c>
      <c r="FN5" s="31" t="s">
        <v>68</v>
      </c>
      <c r="FO5" s="32" t="s">
        <v>69</v>
      </c>
      <c r="FP5" s="118"/>
      <c r="FR5" s="30" t="s">
        <v>61</v>
      </c>
      <c r="FS5" s="31" t="s">
        <v>62</v>
      </c>
      <c r="FT5" s="32" t="s">
        <v>56</v>
      </c>
      <c r="FV5" s="112"/>
      <c r="FW5" s="114"/>
    </row>
    <row r="6" spans="2:179" ht="20.100000000000001" customHeight="1">
      <c r="B6" s="58"/>
      <c r="C6" s="6"/>
      <c r="D6" s="57"/>
      <c r="E6" s="6"/>
      <c r="F6" s="14"/>
      <c r="G6" s="14"/>
      <c r="H6" s="81"/>
      <c r="I6" s="5"/>
      <c r="J6" s="64"/>
      <c r="K6" s="5"/>
      <c r="L6" s="65"/>
      <c r="M6" s="5"/>
      <c r="N6" s="64"/>
      <c r="O6" s="5"/>
      <c r="P6" s="65"/>
      <c r="Q6" s="5"/>
      <c r="R6" s="64"/>
      <c r="S6" s="5"/>
      <c r="T6" s="65"/>
      <c r="U6" s="5"/>
      <c r="V6" s="64"/>
      <c r="W6" s="5"/>
      <c r="X6" s="65"/>
      <c r="Y6" s="5"/>
      <c r="Z6" s="64"/>
      <c r="AA6" s="5"/>
      <c r="AB6" s="65"/>
      <c r="AC6" s="5"/>
      <c r="AD6" s="64"/>
      <c r="AE6" s="5"/>
      <c r="AF6" s="65"/>
      <c r="AG6" s="5"/>
      <c r="AH6" s="64"/>
      <c r="AI6" s="5"/>
      <c r="AJ6" s="65"/>
      <c r="AK6" s="5"/>
      <c r="AL6" s="64"/>
      <c r="AM6" s="5"/>
      <c r="AN6" s="65"/>
      <c r="AO6" s="5"/>
      <c r="AP6" s="64"/>
      <c r="AQ6" s="5"/>
      <c r="AR6" s="65"/>
      <c r="AS6" s="5"/>
      <c r="AT6" s="64"/>
      <c r="AU6" s="5"/>
      <c r="AV6" s="65"/>
      <c r="AW6" s="5"/>
      <c r="AX6" s="64"/>
      <c r="AY6" s="5"/>
      <c r="AZ6" s="65"/>
      <c r="BA6" s="5"/>
      <c r="BB6" s="64"/>
      <c r="BC6" s="5"/>
      <c r="BD6" s="65"/>
      <c r="BE6" s="5"/>
      <c r="BF6" s="64"/>
      <c r="BG6" s="5"/>
      <c r="BH6" s="65"/>
      <c r="BI6" s="5"/>
      <c r="BJ6" s="64"/>
      <c r="BK6" s="5"/>
      <c r="BL6" s="65"/>
      <c r="BM6" s="5"/>
      <c r="BN6" s="64"/>
      <c r="BO6" s="5"/>
      <c r="BP6" s="65"/>
      <c r="BQ6" s="5"/>
      <c r="BR6" s="64"/>
      <c r="BS6" s="5"/>
      <c r="BT6" s="65"/>
      <c r="BU6" s="5"/>
      <c r="BV6" s="64"/>
      <c r="BW6" s="5"/>
      <c r="BX6" s="65"/>
      <c r="BY6" s="5"/>
      <c r="BZ6" s="64"/>
      <c r="CA6" s="5"/>
      <c r="CB6" s="65"/>
      <c r="CC6" s="5"/>
      <c r="CD6" s="64"/>
      <c r="CE6" s="5"/>
      <c r="CF6" s="65"/>
      <c r="CG6" s="5"/>
      <c r="CH6" s="64"/>
      <c r="CI6" s="5"/>
      <c r="CJ6" s="65"/>
      <c r="CK6" s="5"/>
      <c r="CL6" s="64"/>
      <c r="CM6" s="5"/>
      <c r="CN6" s="65"/>
      <c r="CO6" s="5"/>
      <c r="CP6" s="64"/>
      <c r="CQ6" s="5"/>
      <c r="CR6" s="65"/>
      <c r="CS6" s="5"/>
      <c r="CT6" s="64"/>
      <c r="CU6" s="5"/>
      <c r="CV6" s="71"/>
      <c r="CX6" s="12"/>
      <c r="CY6" s="8"/>
      <c r="CZ6" s="7"/>
      <c r="DA6" s="8"/>
      <c r="DB6" s="7"/>
      <c r="DC6" s="8"/>
      <c r="DD6" s="7"/>
      <c r="DE6" s="8"/>
      <c r="DF6" s="12"/>
      <c r="DG6" s="8"/>
      <c r="DH6" s="7"/>
      <c r="DI6" s="8"/>
      <c r="DJ6" s="7"/>
      <c r="DK6" s="8"/>
      <c r="DL6" s="7"/>
      <c r="DM6" s="8"/>
      <c r="DN6" s="7"/>
      <c r="DO6" s="8"/>
      <c r="DP6" s="5"/>
      <c r="DQ6" s="13"/>
      <c r="DS6" s="12"/>
      <c r="DT6" s="8"/>
      <c r="DU6" s="7"/>
      <c r="DV6" s="8"/>
      <c r="DW6" s="7"/>
      <c r="DX6" s="8"/>
      <c r="DY6" s="7"/>
      <c r="DZ6" s="8"/>
      <c r="EA6" s="7"/>
      <c r="EB6" s="8"/>
      <c r="EC6" s="7"/>
      <c r="ED6" s="8"/>
      <c r="EE6" s="7"/>
      <c r="EF6" s="8"/>
      <c r="EG6" s="7"/>
      <c r="EH6" s="13"/>
      <c r="EJ6" s="15">
        <f t="shared" ref="EJ6:EX14" si="35">COUNTIF($I6:$CV6,EJ$5)</f>
        <v>0</v>
      </c>
      <c r="EK6" s="17">
        <f t="shared" si="35"/>
        <v>0</v>
      </c>
      <c r="EL6" s="17">
        <f t="shared" si="35"/>
        <v>0</v>
      </c>
      <c r="EM6" s="17">
        <f t="shared" si="35"/>
        <v>0</v>
      </c>
      <c r="EN6" s="17">
        <f t="shared" si="35"/>
        <v>0</v>
      </c>
      <c r="EO6" s="17">
        <f t="shared" si="35"/>
        <v>0</v>
      </c>
      <c r="EP6" s="17">
        <f t="shared" si="35"/>
        <v>0</v>
      </c>
      <c r="EQ6" s="17">
        <f t="shared" si="35"/>
        <v>0</v>
      </c>
      <c r="ER6" s="17">
        <f t="shared" si="35"/>
        <v>0</v>
      </c>
      <c r="ES6" s="17">
        <f t="shared" si="35"/>
        <v>0</v>
      </c>
      <c r="ET6" s="17">
        <f t="shared" si="35"/>
        <v>0</v>
      </c>
      <c r="EU6" s="17">
        <f t="shared" si="35"/>
        <v>0</v>
      </c>
      <c r="EV6" s="17">
        <f t="shared" si="35"/>
        <v>0</v>
      </c>
      <c r="EW6" s="17">
        <f t="shared" si="35"/>
        <v>0</v>
      </c>
      <c r="EX6" s="16">
        <f t="shared" si="35"/>
        <v>0</v>
      </c>
      <c r="EZ6" s="15">
        <f t="shared" ref="EZ6:EZ32" si="36">COUNTIF($I6:$CV6,EZ$5)</f>
        <v>0</v>
      </c>
      <c r="FA6" s="16">
        <f t="shared" ref="FA6:FA32" si="37">SUM(L6,P6,T6,X6,AB6,AF6,AJ6,AN6,AR6,AV6,AZ6,BD6,BH6,BL6,BP6,BT6,BX6,CB6,CF6,CJ6,CN6,CR6,CV6)</f>
        <v>0</v>
      </c>
      <c r="FB6" s="15">
        <f t="shared" ref="FB6:FB32" si="38">COUNTIF($CX6:$DQ6,$FB$5)</f>
        <v>0</v>
      </c>
      <c r="FC6" s="16">
        <f t="shared" ref="FC6" si="39">SUM(CY6,DA6,DC6,DE6,DG6,DI6,DK6,DM6,DO6,DQ6)</f>
        <v>0</v>
      </c>
      <c r="FD6" s="15">
        <f t="shared" ref="FD6:FD32" si="40">COUNTIF($DS6:$EH6,$FD$5)</f>
        <v>0</v>
      </c>
      <c r="FE6" s="16">
        <f t="shared" ref="FE6" si="41">SUM(DT6,DV6,DX6,DZ6,EB6,ED6,EF6,EH6)</f>
        <v>0</v>
      </c>
      <c r="FG6" s="15">
        <f t="shared" ref="FG6:FG32" si="42">SUM($EJ6:$EQ6)</f>
        <v>0</v>
      </c>
      <c r="FH6" s="16">
        <f t="shared" ref="FH6:FH32" si="43">SUM(J6,N6,R6,V6,Z6,AD6,AH6,AL6,AP6,AT6,AX6,BB6,BF6,BJ6,BN6,BR6,BV6,BZ6,CD6,CH6,CL6,CP6,CT6)</f>
        <v>0</v>
      </c>
      <c r="FJ6" s="15">
        <f t="shared" ref="FJ6:FJ32" si="44">SUM($EJ6+$FB6+$FD6)</f>
        <v>0</v>
      </c>
      <c r="FK6" s="35" t="str" cm="1">
        <f t="array" ref="FK6">IFERROR(_xlfn.IFS($F6="Senior Staff",$FJ6*1250,$F6="Junior Staff",$FJ6*1000,$F6="Intern",0), "")</f>
        <v/>
      </c>
      <c r="FM6" s="36">
        <f t="shared" ref="FM6:FM32" si="45">($FW6*12*1.3*$FA6)/2080</f>
        <v>0</v>
      </c>
      <c r="FN6" s="37">
        <f t="shared" ref="FN6:FN32" si="46">($FW6*12*1.56*$FC6)/2080</f>
        <v>0</v>
      </c>
      <c r="FO6" s="38">
        <f t="shared" ref="FO6:FO32" si="47">($FW6*12*2*$FE6)/2080</f>
        <v>0</v>
      </c>
      <c r="FP6" s="39">
        <f t="shared" ref="FP6:FP32" si="48">IFERROR(SUM($FM6:$FO6),"")</f>
        <v>0</v>
      </c>
      <c r="FR6" s="44" t="str" cm="1">
        <f t="array" ref="FR6">IFERROR(_xlfn.IFS($F6="Senior Staff",3040,$F6="Junior Staff",1500,$F6="Temporary Staff",0,$F6="Intern",0),"")</f>
        <v/>
      </c>
      <c r="FS6" s="29">
        <f>SUM(ER6:$EV6)</f>
        <v>0</v>
      </c>
      <c r="FT6" s="34">
        <f t="shared" ref="FT6:FT32" si="49">SUM($FS6/26*($FV6))</f>
        <v>0</v>
      </c>
      <c r="FV6" s="33"/>
      <c r="FW6" s="35">
        <f t="shared" ref="FW6:FW32" si="50">IFERROR(30%*$FV6,"")</f>
        <v>0</v>
      </c>
    </row>
    <row r="7" spans="2:179" ht="20.100000000000001" customHeight="1">
      <c r="B7" s="58"/>
      <c r="C7" s="6"/>
      <c r="D7" s="57"/>
      <c r="E7" s="6"/>
      <c r="F7" s="14"/>
      <c r="G7" s="14"/>
      <c r="H7" s="81"/>
      <c r="I7" s="5"/>
      <c r="J7" s="64"/>
      <c r="K7" s="5"/>
      <c r="L7" s="65"/>
      <c r="M7" s="5"/>
      <c r="N7" s="64"/>
      <c r="O7" s="5"/>
      <c r="P7" s="65"/>
      <c r="Q7" s="5"/>
      <c r="R7" s="64"/>
      <c r="S7" s="5"/>
      <c r="T7" s="65"/>
      <c r="U7" s="5"/>
      <c r="V7" s="64"/>
      <c r="W7" s="5"/>
      <c r="X7" s="65"/>
      <c r="Y7" s="5"/>
      <c r="Z7" s="64"/>
      <c r="AA7" s="5"/>
      <c r="AB7" s="65"/>
      <c r="AC7" s="5"/>
      <c r="AD7" s="64"/>
      <c r="AE7" s="5"/>
      <c r="AF7" s="65"/>
      <c r="AG7" s="5"/>
      <c r="AH7" s="64"/>
      <c r="AI7" s="5"/>
      <c r="AJ7" s="65"/>
      <c r="AK7" s="5"/>
      <c r="AL7" s="64"/>
      <c r="AM7" s="5"/>
      <c r="AN7" s="65"/>
      <c r="AO7" s="5"/>
      <c r="AP7" s="64"/>
      <c r="AQ7" s="5"/>
      <c r="AR7" s="65"/>
      <c r="AS7" s="5"/>
      <c r="AT7" s="64"/>
      <c r="AU7" s="5"/>
      <c r="AV7" s="65"/>
      <c r="AW7" s="5"/>
      <c r="AX7" s="64"/>
      <c r="AY7" s="5"/>
      <c r="AZ7" s="65"/>
      <c r="BA7" s="5"/>
      <c r="BB7" s="64"/>
      <c r="BC7" s="5"/>
      <c r="BD7" s="65"/>
      <c r="BE7" s="5"/>
      <c r="BF7" s="64"/>
      <c r="BG7" s="5"/>
      <c r="BH7" s="65"/>
      <c r="BI7" s="5"/>
      <c r="BJ7" s="64"/>
      <c r="BK7" s="5"/>
      <c r="BL7" s="65"/>
      <c r="BM7" s="5"/>
      <c r="BN7" s="64"/>
      <c r="BO7" s="5"/>
      <c r="BP7" s="65"/>
      <c r="BQ7" s="5"/>
      <c r="BR7" s="64"/>
      <c r="BS7" s="5"/>
      <c r="BT7" s="65"/>
      <c r="BU7" s="5"/>
      <c r="BV7" s="64"/>
      <c r="BW7" s="5"/>
      <c r="BX7" s="65"/>
      <c r="BY7" s="5"/>
      <c r="BZ7" s="64"/>
      <c r="CA7" s="5"/>
      <c r="CB7" s="65"/>
      <c r="CC7" s="5"/>
      <c r="CD7" s="64"/>
      <c r="CE7" s="5"/>
      <c r="CF7" s="65"/>
      <c r="CG7" s="5"/>
      <c r="CH7" s="64"/>
      <c r="CI7" s="5"/>
      <c r="CJ7" s="65"/>
      <c r="CK7" s="5"/>
      <c r="CL7" s="64"/>
      <c r="CM7" s="5"/>
      <c r="CN7" s="65"/>
      <c r="CO7" s="5"/>
      <c r="CP7" s="64"/>
      <c r="CQ7" s="5"/>
      <c r="CR7" s="65"/>
      <c r="CS7" s="5"/>
      <c r="CT7" s="64"/>
      <c r="CU7" s="5"/>
      <c r="CV7" s="71"/>
      <c r="CX7" s="12"/>
      <c r="CY7" s="8"/>
      <c r="CZ7" s="7"/>
      <c r="DA7" s="8"/>
      <c r="DB7" s="7"/>
      <c r="DC7" s="8"/>
      <c r="DD7" s="7"/>
      <c r="DE7" s="8"/>
      <c r="DF7" s="12"/>
      <c r="DG7" s="8"/>
      <c r="DH7" s="7"/>
      <c r="DI7" s="8"/>
      <c r="DJ7" s="7"/>
      <c r="DK7" s="8"/>
      <c r="DL7" s="7"/>
      <c r="DM7" s="8"/>
      <c r="DN7" s="7"/>
      <c r="DO7" s="8"/>
      <c r="DP7" s="5"/>
      <c r="DQ7" s="13"/>
      <c r="DS7" s="12"/>
      <c r="DT7" s="8"/>
      <c r="DU7" s="7"/>
      <c r="DV7" s="8"/>
      <c r="DW7" s="7"/>
      <c r="DX7" s="8"/>
      <c r="DY7" s="7"/>
      <c r="DZ7" s="8"/>
      <c r="EA7" s="7"/>
      <c r="EB7" s="8"/>
      <c r="EC7" s="7"/>
      <c r="ED7" s="8"/>
      <c r="EE7" s="7"/>
      <c r="EF7" s="8"/>
      <c r="EG7" s="7"/>
      <c r="EH7" s="13"/>
      <c r="EJ7" s="15">
        <f t="shared" si="35"/>
        <v>0</v>
      </c>
      <c r="EK7" s="17">
        <f t="shared" si="35"/>
        <v>0</v>
      </c>
      <c r="EL7" s="17">
        <f t="shared" si="35"/>
        <v>0</v>
      </c>
      <c r="EM7" s="17">
        <f t="shared" si="35"/>
        <v>0</v>
      </c>
      <c r="EN7" s="17">
        <f t="shared" si="35"/>
        <v>0</v>
      </c>
      <c r="EO7" s="17">
        <f t="shared" si="35"/>
        <v>0</v>
      </c>
      <c r="EP7" s="17">
        <f t="shared" si="35"/>
        <v>0</v>
      </c>
      <c r="EQ7" s="17">
        <f t="shared" si="35"/>
        <v>0</v>
      </c>
      <c r="ER7" s="17">
        <f t="shared" si="35"/>
        <v>0</v>
      </c>
      <c r="ES7" s="17">
        <f t="shared" si="35"/>
        <v>0</v>
      </c>
      <c r="ET7" s="17">
        <f t="shared" si="35"/>
        <v>0</v>
      </c>
      <c r="EU7" s="17">
        <f t="shared" si="35"/>
        <v>0</v>
      </c>
      <c r="EV7" s="17">
        <f t="shared" si="35"/>
        <v>0</v>
      </c>
      <c r="EW7" s="17">
        <f t="shared" si="35"/>
        <v>0</v>
      </c>
      <c r="EX7" s="16">
        <f t="shared" si="35"/>
        <v>0</v>
      </c>
      <c r="EZ7" s="15">
        <f t="shared" si="36"/>
        <v>0</v>
      </c>
      <c r="FA7" s="16">
        <f t="shared" si="37"/>
        <v>0</v>
      </c>
      <c r="FB7" s="15">
        <f t="shared" si="38"/>
        <v>0</v>
      </c>
      <c r="FC7" s="16">
        <f t="shared" ref="FC7:FC12" si="51">SUM(CY7,DA7,DC7,DE7,DG7,DI7,DK7,DM7,DO7,DQ7)</f>
        <v>0</v>
      </c>
      <c r="FD7" s="15">
        <f t="shared" si="40"/>
        <v>0</v>
      </c>
      <c r="FE7" s="16">
        <f t="shared" ref="FE7:FE12" si="52">SUM(DT7,DV7,DX7,DZ7,EB7,ED7,EF7,EH7)</f>
        <v>0</v>
      </c>
      <c r="FG7" s="15">
        <f t="shared" si="42"/>
        <v>0</v>
      </c>
      <c r="FH7" s="16">
        <f t="shared" si="43"/>
        <v>0</v>
      </c>
      <c r="FJ7" s="15">
        <f t="shared" si="44"/>
        <v>0</v>
      </c>
      <c r="FK7" s="35" t="str" cm="1">
        <f t="array" ref="FK7">IFERROR(_xlfn.IFS($F7="Senior Staff",$FJ7*1250,$F7="Junior Staff",$FJ7*1000,$F7="Intern",0), "")</f>
        <v/>
      </c>
      <c r="FM7" s="36">
        <f t="shared" si="45"/>
        <v>0</v>
      </c>
      <c r="FN7" s="37">
        <f t="shared" si="46"/>
        <v>0</v>
      </c>
      <c r="FO7" s="38">
        <f t="shared" si="47"/>
        <v>0</v>
      </c>
      <c r="FP7" s="39">
        <f t="shared" si="48"/>
        <v>0</v>
      </c>
      <c r="FR7" s="44" t="str" cm="1">
        <f t="array" ref="FR7">IFERROR(_xlfn.IFS($F7="Senior Staff",3040,$F7="Junior Staff",1500,$F7="Intern",0),"")</f>
        <v/>
      </c>
      <c r="FS7" s="29">
        <f>SUM(ER7:$EV7)</f>
        <v>0</v>
      </c>
      <c r="FT7" s="34">
        <f t="shared" si="49"/>
        <v>0</v>
      </c>
      <c r="FV7" s="33"/>
      <c r="FW7" s="35">
        <f t="shared" si="50"/>
        <v>0</v>
      </c>
    </row>
    <row r="8" spans="2:179" ht="20.100000000000001" customHeight="1">
      <c r="B8" s="58"/>
      <c r="C8" s="6"/>
      <c r="D8" s="57"/>
      <c r="E8" s="6"/>
      <c r="F8" s="14"/>
      <c r="G8" s="14"/>
      <c r="H8" s="81"/>
      <c r="I8" s="5"/>
      <c r="J8" s="64"/>
      <c r="K8" s="5"/>
      <c r="L8" s="65"/>
      <c r="M8" s="5"/>
      <c r="N8" s="64"/>
      <c r="O8" s="5"/>
      <c r="P8" s="65"/>
      <c r="Q8" s="5"/>
      <c r="R8" s="64"/>
      <c r="S8" s="5"/>
      <c r="T8" s="65"/>
      <c r="U8" s="5"/>
      <c r="V8" s="64"/>
      <c r="W8" s="5"/>
      <c r="X8" s="65"/>
      <c r="Y8" s="5"/>
      <c r="Z8" s="64"/>
      <c r="AA8" s="5"/>
      <c r="AB8" s="65"/>
      <c r="AC8" s="5"/>
      <c r="AD8" s="64"/>
      <c r="AE8" s="5"/>
      <c r="AF8" s="65"/>
      <c r="AG8" s="5"/>
      <c r="AH8" s="64"/>
      <c r="AI8" s="5"/>
      <c r="AJ8" s="65"/>
      <c r="AK8" s="5"/>
      <c r="AL8" s="64"/>
      <c r="AM8" s="5"/>
      <c r="AN8" s="65"/>
      <c r="AO8" s="5"/>
      <c r="AP8" s="64"/>
      <c r="AQ8" s="5"/>
      <c r="AR8" s="65"/>
      <c r="AS8" s="5"/>
      <c r="AT8" s="64"/>
      <c r="AU8" s="5"/>
      <c r="AV8" s="65"/>
      <c r="AW8" s="5"/>
      <c r="AX8" s="64"/>
      <c r="AY8" s="5"/>
      <c r="AZ8" s="65"/>
      <c r="BA8" s="5"/>
      <c r="BB8" s="64"/>
      <c r="BC8" s="5"/>
      <c r="BD8" s="65"/>
      <c r="BE8" s="5"/>
      <c r="BF8" s="64"/>
      <c r="BG8" s="5"/>
      <c r="BH8" s="65"/>
      <c r="BI8" s="5"/>
      <c r="BJ8" s="64"/>
      <c r="BK8" s="5"/>
      <c r="BL8" s="65"/>
      <c r="BM8" s="5"/>
      <c r="BN8" s="64"/>
      <c r="BO8" s="5"/>
      <c r="BP8" s="65"/>
      <c r="BQ8" s="5"/>
      <c r="BR8" s="64"/>
      <c r="BS8" s="5"/>
      <c r="BT8" s="65"/>
      <c r="BU8" s="5"/>
      <c r="BV8" s="64"/>
      <c r="BW8" s="5"/>
      <c r="BX8" s="65"/>
      <c r="BY8" s="5"/>
      <c r="BZ8" s="64"/>
      <c r="CA8" s="5"/>
      <c r="CB8" s="65"/>
      <c r="CC8" s="5"/>
      <c r="CD8" s="64"/>
      <c r="CE8" s="5"/>
      <c r="CF8" s="65"/>
      <c r="CG8" s="5"/>
      <c r="CH8" s="64"/>
      <c r="CI8" s="5"/>
      <c r="CJ8" s="65"/>
      <c r="CK8" s="5"/>
      <c r="CL8" s="64"/>
      <c r="CM8" s="5"/>
      <c r="CN8" s="65"/>
      <c r="CO8" s="5"/>
      <c r="CP8" s="64"/>
      <c r="CQ8" s="5"/>
      <c r="CR8" s="65"/>
      <c r="CS8" s="5"/>
      <c r="CT8" s="64"/>
      <c r="CU8" s="5"/>
      <c r="CV8" s="71"/>
      <c r="CX8" s="12"/>
      <c r="CY8" s="8"/>
      <c r="CZ8" s="7"/>
      <c r="DA8" s="8"/>
      <c r="DB8" s="7"/>
      <c r="DC8" s="8"/>
      <c r="DD8" s="7"/>
      <c r="DE8" s="8"/>
      <c r="DF8" s="12"/>
      <c r="DG8" s="8"/>
      <c r="DH8" s="7"/>
      <c r="DI8" s="8"/>
      <c r="DJ8" s="7"/>
      <c r="DK8" s="8"/>
      <c r="DL8" s="7"/>
      <c r="DM8" s="8"/>
      <c r="DN8" s="7"/>
      <c r="DO8" s="8"/>
      <c r="DP8" s="5"/>
      <c r="DQ8" s="13"/>
      <c r="DS8" s="12"/>
      <c r="DT8" s="8"/>
      <c r="DU8" s="7"/>
      <c r="DV8" s="8"/>
      <c r="DW8" s="7"/>
      <c r="DX8" s="8"/>
      <c r="DY8" s="7"/>
      <c r="DZ8" s="8"/>
      <c r="EA8" s="7"/>
      <c r="EB8" s="8"/>
      <c r="EC8" s="7"/>
      <c r="ED8" s="8"/>
      <c r="EE8" s="7"/>
      <c r="EF8" s="8"/>
      <c r="EG8" s="7"/>
      <c r="EH8" s="13"/>
      <c r="EJ8" s="15">
        <f t="shared" si="35"/>
        <v>0</v>
      </c>
      <c r="EK8" s="17">
        <f t="shared" si="35"/>
        <v>0</v>
      </c>
      <c r="EL8" s="17">
        <f t="shared" si="35"/>
        <v>0</v>
      </c>
      <c r="EM8" s="17">
        <f t="shared" si="35"/>
        <v>0</v>
      </c>
      <c r="EN8" s="17">
        <f t="shared" si="35"/>
        <v>0</v>
      </c>
      <c r="EO8" s="17">
        <f t="shared" si="35"/>
        <v>0</v>
      </c>
      <c r="EP8" s="17">
        <f t="shared" si="35"/>
        <v>0</v>
      </c>
      <c r="EQ8" s="17">
        <f t="shared" si="35"/>
        <v>0</v>
      </c>
      <c r="ER8" s="17">
        <f t="shared" si="35"/>
        <v>0</v>
      </c>
      <c r="ES8" s="17">
        <f t="shared" si="35"/>
        <v>0</v>
      </c>
      <c r="ET8" s="17">
        <f t="shared" si="35"/>
        <v>0</v>
      </c>
      <c r="EU8" s="17">
        <f t="shared" si="35"/>
        <v>0</v>
      </c>
      <c r="EV8" s="17">
        <f t="shared" si="35"/>
        <v>0</v>
      </c>
      <c r="EW8" s="17">
        <f t="shared" si="35"/>
        <v>0</v>
      </c>
      <c r="EX8" s="16">
        <f t="shared" si="35"/>
        <v>0</v>
      </c>
      <c r="EZ8" s="15">
        <f t="shared" si="36"/>
        <v>0</v>
      </c>
      <c r="FA8" s="16">
        <f t="shared" si="37"/>
        <v>0</v>
      </c>
      <c r="FB8" s="15">
        <f t="shared" si="38"/>
        <v>0</v>
      </c>
      <c r="FC8" s="16">
        <f t="shared" si="51"/>
        <v>0</v>
      </c>
      <c r="FD8" s="15">
        <f t="shared" si="40"/>
        <v>0</v>
      </c>
      <c r="FE8" s="16">
        <f t="shared" si="52"/>
        <v>0</v>
      </c>
      <c r="FG8" s="15">
        <f t="shared" si="42"/>
        <v>0</v>
      </c>
      <c r="FH8" s="16">
        <f t="shared" si="43"/>
        <v>0</v>
      </c>
      <c r="FJ8" s="15">
        <f t="shared" si="44"/>
        <v>0</v>
      </c>
      <c r="FK8" s="35" t="str" cm="1">
        <f t="array" ref="FK8">IFERROR(_xlfn.IFS($F8="Senior Staff",$FJ8*1250,$F8="Junior Staff",$FJ8*1000,$F8="Intern",0), "")</f>
        <v/>
      </c>
      <c r="FM8" s="36">
        <f t="shared" si="45"/>
        <v>0</v>
      </c>
      <c r="FN8" s="37">
        <f t="shared" si="46"/>
        <v>0</v>
      </c>
      <c r="FO8" s="38">
        <f t="shared" si="47"/>
        <v>0</v>
      </c>
      <c r="FP8" s="39">
        <f t="shared" si="48"/>
        <v>0</v>
      </c>
      <c r="FR8" s="44" t="str" cm="1">
        <f t="array" ref="FR8">IFERROR(_xlfn.IFS($F8="Senior Staff",3040,$F8="Junior Staff",1500,$F8="Intern",0),"")</f>
        <v/>
      </c>
      <c r="FS8" s="29">
        <f>SUM(ER8:$EV8)</f>
        <v>0</v>
      </c>
      <c r="FT8" s="34">
        <f t="shared" si="49"/>
        <v>0</v>
      </c>
      <c r="FV8" s="33"/>
      <c r="FW8" s="35">
        <f t="shared" si="50"/>
        <v>0</v>
      </c>
    </row>
    <row r="9" spans="2:179" ht="20.100000000000001" customHeight="1">
      <c r="B9" s="58"/>
      <c r="C9" s="6"/>
      <c r="D9" s="57"/>
      <c r="E9" s="6"/>
      <c r="F9" s="14"/>
      <c r="G9" s="14"/>
      <c r="H9" s="81"/>
      <c r="I9" s="5"/>
      <c r="J9" s="64"/>
      <c r="K9" s="5"/>
      <c r="L9" s="65"/>
      <c r="M9" s="5"/>
      <c r="N9" s="64"/>
      <c r="O9" s="5"/>
      <c r="P9" s="65"/>
      <c r="Q9" s="5"/>
      <c r="R9" s="64"/>
      <c r="S9" s="5"/>
      <c r="T9" s="65"/>
      <c r="U9" s="5"/>
      <c r="V9" s="64"/>
      <c r="W9" s="5"/>
      <c r="X9" s="65"/>
      <c r="Y9" s="5"/>
      <c r="Z9" s="64"/>
      <c r="AA9" s="5"/>
      <c r="AB9" s="65"/>
      <c r="AC9" s="5"/>
      <c r="AD9" s="64"/>
      <c r="AE9" s="5"/>
      <c r="AF9" s="65"/>
      <c r="AG9" s="5"/>
      <c r="AH9" s="64"/>
      <c r="AI9" s="5"/>
      <c r="AJ9" s="65"/>
      <c r="AK9" s="5"/>
      <c r="AL9" s="64"/>
      <c r="AM9" s="5"/>
      <c r="AN9" s="65"/>
      <c r="AO9" s="5"/>
      <c r="AP9" s="64"/>
      <c r="AQ9" s="5"/>
      <c r="AR9" s="65"/>
      <c r="AS9" s="5"/>
      <c r="AT9" s="64"/>
      <c r="AU9" s="5"/>
      <c r="AV9" s="65"/>
      <c r="AW9" s="5"/>
      <c r="AX9" s="64"/>
      <c r="AY9" s="5"/>
      <c r="AZ9" s="65"/>
      <c r="BA9" s="5"/>
      <c r="BB9" s="64"/>
      <c r="BC9" s="5"/>
      <c r="BD9" s="65"/>
      <c r="BE9" s="5"/>
      <c r="BF9" s="64"/>
      <c r="BG9" s="5"/>
      <c r="BH9" s="65"/>
      <c r="BI9" s="5"/>
      <c r="BJ9" s="64"/>
      <c r="BK9" s="5"/>
      <c r="BL9" s="65"/>
      <c r="BM9" s="5"/>
      <c r="BN9" s="64"/>
      <c r="BO9" s="5"/>
      <c r="BP9" s="65"/>
      <c r="BQ9" s="5"/>
      <c r="BR9" s="64"/>
      <c r="BS9" s="5"/>
      <c r="BT9" s="65"/>
      <c r="BU9" s="5"/>
      <c r="BV9" s="64"/>
      <c r="BW9" s="5"/>
      <c r="BX9" s="65"/>
      <c r="BY9" s="5"/>
      <c r="BZ9" s="64"/>
      <c r="CA9" s="5"/>
      <c r="CB9" s="65"/>
      <c r="CC9" s="5"/>
      <c r="CD9" s="64"/>
      <c r="CE9" s="5"/>
      <c r="CF9" s="65"/>
      <c r="CG9" s="5"/>
      <c r="CH9" s="64"/>
      <c r="CI9" s="5"/>
      <c r="CJ9" s="65"/>
      <c r="CK9" s="5"/>
      <c r="CL9" s="64"/>
      <c r="CM9" s="5"/>
      <c r="CN9" s="65"/>
      <c r="CO9" s="5"/>
      <c r="CP9" s="64"/>
      <c r="CQ9" s="5"/>
      <c r="CR9" s="65"/>
      <c r="CS9" s="5"/>
      <c r="CT9" s="64"/>
      <c r="CU9" s="5"/>
      <c r="CV9" s="71"/>
      <c r="CX9" s="12"/>
      <c r="CY9" s="8"/>
      <c r="CZ9" s="7"/>
      <c r="DA9" s="8"/>
      <c r="DB9" s="7"/>
      <c r="DC9" s="8"/>
      <c r="DD9" s="7"/>
      <c r="DE9" s="8"/>
      <c r="DF9" s="12"/>
      <c r="DG9" s="8"/>
      <c r="DH9" s="7"/>
      <c r="DI9" s="8"/>
      <c r="DJ9" s="7"/>
      <c r="DK9" s="8"/>
      <c r="DL9" s="7"/>
      <c r="DM9" s="8"/>
      <c r="DN9" s="7"/>
      <c r="DO9" s="8"/>
      <c r="DP9" s="5"/>
      <c r="DQ9" s="13"/>
      <c r="DS9" s="12"/>
      <c r="DT9" s="8"/>
      <c r="DU9" s="7"/>
      <c r="DV9" s="8"/>
      <c r="DW9" s="7"/>
      <c r="DX9" s="8"/>
      <c r="DY9" s="7"/>
      <c r="DZ9" s="8"/>
      <c r="EA9" s="7"/>
      <c r="EB9" s="8"/>
      <c r="EC9" s="7"/>
      <c r="ED9" s="8"/>
      <c r="EE9" s="7"/>
      <c r="EF9" s="8"/>
      <c r="EG9" s="7"/>
      <c r="EH9" s="13"/>
      <c r="EJ9" s="15">
        <f t="shared" si="35"/>
        <v>0</v>
      </c>
      <c r="EK9" s="17">
        <f t="shared" si="35"/>
        <v>0</v>
      </c>
      <c r="EL9" s="17">
        <f t="shared" si="35"/>
        <v>0</v>
      </c>
      <c r="EM9" s="17">
        <f t="shared" si="35"/>
        <v>0</v>
      </c>
      <c r="EN9" s="17">
        <f t="shared" si="35"/>
        <v>0</v>
      </c>
      <c r="EO9" s="17">
        <f t="shared" si="35"/>
        <v>0</v>
      </c>
      <c r="EP9" s="17">
        <f t="shared" si="35"/>
        <v>0</v>
      </c>
      <c r="EQ9" s="17">
        <f t="shared" si="35"/>
        <v>0</v>
      </c>
      <c r="ER9" s="17">
        <f t="shared" si="35"/>
        <v>0</v>
      </c>
      <c r="ES9" s="17">
        <f t="shared" si="35"/>
        <v>0</v>
      </c>
      <c r="ET9" s="17">
        <f t="shared" si="35"/>
        <v>0</v>
      </c>
      <c r="EU9" s="17">
        <f t="shared" si="35"/>
        <v>0</v>
      </c>
      <c r="EV9" s="17">
        <f t="shared" si="35"/>
        <v>0</v>
      </c>
      <c r="EW9" s="17">
        <f t="shared" si="35"/>
        <v>0</v>
      </c>
      <c r="EX9" s="16">
        <f t="shared" si="35"/>
        <v>0</v>
      </c>
      <c r="EZ9" s="15">
        <f t="shared" si="36"/>
        <v>0</v>
      </c>
      <c r="FA9" s="16">
        <f t="shared" si="37"/>
        <v>0</v>
      </c>
      <c r="FB9" s="15">
        <f t="shared" si="38"/>
        <v>0</v>
      </c>
      <c r="FC9" s="16">
        <f t="shared" si="51"/>
        <v>0</v>
      </c>
      <c r="FD9" s="15">
        <f t="shared" si="40"/>
        <v>0</v>
      </c>
      <c r="FE9" s="16">
        <f t="shared" si="52"/>
        <v>0</v>
      </c>
      <c r="FG9" s="15">
        <f t="shared" si="42"/>
        <v>0</v>
      </c>
      <c r="FH9" s="16">
        <f t="shared" si="43"/>
        <v>0</v>
      </c>
      <c r="FJ9" s="15">
        <f t="shared" si="44"/>
        <v>0</v>
      </c>
      <c r="FK9" s="35" t="str" cm="1">
        <f t="array" ref="FK9">IFERROR(_xlfn.IFS($F9="Senior Staff",$FJ9*1250,$F9="Junior Staff",$FJ9*1000,$F9="Intern",0), "")</f>
        <v/>
      </c>
      <c r="FM9" s="36">
        <f t="shared" si="45"/>
        <v>0</v>
      </c>
      <c r="FN9" s="37">
        <f t="shared" si="46"/>
        <v>0</v>
      </c>
      <c r="FO9" s="38">
        <f t="shared" si="47"/>
        <v>0</v>
      </c>
      <c r="FP9" s="39">
        <f t="shared" si="48"/>
        <v>0</v>
      </c>
      <c r="FR9" s="44" t="str" cm="1">
        <f t="array" ref="FR9">IFERROR(_xlfn.IFS($F9="Senior Staff",3040,$F9="Junior Staff",1500,$F9="Intern",0),"")</f>
        <v/>
      </c>
      <c r="FS9" s="29">
        <f>SUM(ER9:$EV9)</f>
        <v>0</v>
      </c>
      <c r="FT9" s="34">
        <f t="shared" si="49"/>
        <v>0</v>
      </c>
      <c r="FV9" s="33"/>
      <c r="FW9" s="35">
        <f t="shared" si="50"/>
        <v>0</v>
      </c>
    </row>
    <row r="10" spans="2:179" ht="20.100000000000001" customHeight="1">
      <c r="B10" s="58"/>
      <c r="C10" s="6"/>
      <c r="D10" s="57"/>
      <c r="E10" s="6"/>
      <c r="F10" s="14"/>
      <c r="G10" s="14"/>
      <c r="H10" s="81"/>
      <c r="I10" s="5"/>
      <c r="J10" s="64"/>
      <c r="K10" s="5"/>
      <c r="L10" s="65"/>
      <c r="M10" s="5"/>
      <c r="N10" s="64"/>
      <c r="O10" s="5"/>
      <c r="P10" s="65"/>
      <c r="Q10" s="5"/>
      <c r="R10" s="64"/>
      <c r="S10" s="5"/>
      <c r="T10" s="65"/>
      <c r="U10" s="5"/>
      <c r="V10" s="64"/>
      <c r="W10" s="5"/>
      <c r="X10" s="65"/>
      <c r="Y10" s="5"/>
      <c r="Z10" s="64"/>
      <c r="AA10" s="5"/>
      <c r="AB10" s="65"/>
      <c r="AC10" s="5"/>
      <c r="AD10" s="64"/>
      <c r="AE10" s="5"/>
      <c r="AF10" s="65"/>
      <c r="AG10" s="5"/>
      <c r="AH10" s="64"/>
      <c r="AI10" s="5"/>
      <c r="AJ10" s="65"/>
      <c r="AK10" s="5"/>
      <c r="AL10" s="64"/>
      <c r="AM10" s="5"/>
      <c r="AN10" s="65"/>
      <c r="AO10" s="5"/>
      <c r="AP10" s="64"/>
      <c r="AQ10" s="5"/>
      <c r="AR10" s="65"/>
      <c r="AS10" s="5"/>
      <c r="AT10" s="64"/>
      <c r="AU10" s="5"/>
      <c r="AV10" s="65"/>
      <c r="AW10" s="5"/>
      <c r="AX10" s="64"/>
      <c r="AY10" s="5"/>
      <c r="AZ10" s="65"/>
      <c r="BA10" s="5"/>
      <c r="BB10" s="64"/>
      <c r="BC10" s="5"/>
      <c r="BD10" s="65"/>
      <c r="BE10" s="5"/>
      <c r="BF10" s="64"/>
      <c r="BG10" s="5"/>
      <c r="BH10" s="65"/>
      <c r="BI10" s="5"/>
      <c r="BJ10" s="64"/>
      <c r="BK10" s="5"/>
      <c r="BL10" s="65"/>
      <c r="BM10" s="5"/>
      <c r="BN10" s="64"/>
      <c r="BO10" s="5"/>
      <c r="BP10" s="65"/>
      <c r="BQ10" s="5"/>
      <c r="BR10" s="64"/>
      <c r="BS10" s="5"/>
      <c r="BT10" s="65"/>
      <c r="BU10" s="5"/>
      <c r="BV10" s="64"/>
      <c r="BW10" s="5"/>
      <c r="BX10" s="65"/>
      <c r="BY10" s="5"/>
      <c r="BZ10" s="64"/>
      <c r="CA10" s="5"/>
      <c r="CB10" s="65"/>
      <c r="CC10" s="5"/>
      <c r="CD10" s="64"/>
      <c r="CE10" s="5"/>
      <c r="CF10" s="65"/>
      <c r="CG10" s="5"/>
      <c r="CH10" s="64"/>
      <c r="CI10" s="5"/>
      <c r="CJ10" s="65"/>
      <c r="CK10" s="5"/>
      <c r="CL10" s="64"/>
      <c r="CM10" s="5"/>
      <c r="CN10" s="65"/>
      <c r="CO10" s="5"/>
      <c r="CP10" s="64"/>
      <c r="CQ10" s="5"/>
      <c r="CR10" s="65"/>
      <c r="CS10" s="5"/>
      <c r="CT10" s="64"/>
      <c r="CU10" s="5"/>
      <c r="CV10" s="71"/>
      <c r="CX10" s="12"/>
      <c r="CY10" s="8"/>
      <c r="CZ10" s="7"/>
      <c r="DA10" s="8"/>
      <c r="DB10" s="7"/>
      <c r="DC10" s="8"/>
      <c r="DD10" s="7"/>
      <c r="DE10" s="8"/>
      <c r="DF10" s="12"/>
      <c r="DG10" s="8"/>
      <c r="DH10" s="7"/>
      <c r="DI10" s="8"/>
      <c r="DJ10" s="7"/>
      <c r="DK10" s="8"/>
      <c r="DL10" s="7"/>
      <c r="DM10" s="8"/>
      <c r="DN10" s="7"/>
      <c r="DO10" s="8"/>
      <c r="DP10" s="5"/>
      <c r="DQ10" s="13"/>
      <c r="DS10" s="12"/>
      <c r="DT10" s="8"/>
      <c r="DU10" s="7"/>
      <c r="DV10" s="8"/>
      <c r="DW10" s="7"/>
      <c r="DX10" s="8"/>
      <c r="DY10" s="7"/>
      <c r="DZ10" s="8"/>
      <c r="EA10" s="7"/>
      <c r="EB10" s="8"/>
      <c r="EC10" s="7"/>
      <c r="ED10" s="8"/>
      <c r="EE10" s="7"/>
      <c r="EF10" s="8"/>
      <c r="EG10" s="7"/>
      <c r="EH10" s="13"/>
      <c r="EJ10" s="15">
        <f t="shared" si="35"/>
        <v>0</v>
      </c>
      <c r="EK10" s="17">
        <f t="shared" si="35"/>
        <v>0</v>
      </c>
      <c r="EL10" s="17">
        <f t="shared" si="35"/>
        <v>0</v>
      </c>
      <c r="EM10" s="17">
        <f t="shared" si="35"/>
        <v>0</v>
      </c>
      <c r="EN10" s="17">
        <f t="shared" si="35"/>
        <v>0</v>
      </c>
      <c r="EO10" s="17">
        <f t="shared" si="35"/>
        <v>0</v>
      </c>
      <c r="EP10" s="17">
        <f t="shared" si="35"/>
        <v>0</v>
      </c>
      <c r="EQ10" s="17">
        <f t="shared" si="35"/>
        <v>0</v>
      </c>
      <c r="ER10" s="17">
        <f t="shared" si="35"/>
        <v>0</v>
      </c>
      <c r="ES10" s="17">
        <f t="shared" si="35"/>
        <v>0</v>
      </c>
      <c r="ET10" s="17">
        <f t="shared" si="35"/>
        <v>0</v>
      </c>
      <c r="EU10" s="17">
        <f t="shared" si="35"/>
        <v>0</v>
      </c>
      <c r="EV10" s="17">
        <f t="shared" si="35"/>
        <v>0</v>
      </c>
      <c r="EW10" s="17">
        <f t="shared" si="35"/>
        <v>0</v>
      </c>
      <c r="EX10" s="16">
        <f t="shared" si="35"/>
        <v>0</v>
      </c>
      <c r="EZ10" s="15">
        <f t="shared" si="36"/>
        <v>0</v>
      </c>
      <c r="FA10" s="16">
        <f t="shared" si="37"/>
        <v>0</v>
      </c>
      <c r="FB10" s="15">
        <f t="shared" si="38"/>
        <v>0</v>
      </c>
      <c r="FC10" s="16">
        <f t="shared" si="51"/>
        <v>0</v>
      </c>
      <c r="FD10" s="15">
        <f t="shared" si="40"/>
        <v>0</v>
      </c>
      <c r="FE10" s="16">
        <f t="shared" si="52"/>
        <v>0</v>
      </c>
      <c r="FG10" s="15">
        <f t="shared" si="42"/>
        <v>0</v>
      </c>
      <c r="FH10" s="16">
        <f t="shared" si="43"/>
        <v>0</v>
      </c>
      <c r="FJ10" s="15">
        <f t="shared" si="44"/>
        <v>0</v>
      </c>
      <c r="FK10" s="35" t="str" cm="1">
        <f t="array" ref="FK10">IFERROR(_xlfn.IFS($F10="Senior Staff",$FJ10*1250,$F10="Junior Staff",$FJ10*1000,$F10="Intern",0), "")</f>
        <v/>
      </c>
      <c r="FM10" s="36">
        <f t="shared" si="45"/>
        <v>0</v>
      </c>
      <c r="FN10" s="37">
        <f t="shared" si="46"/>
        <v>0</v>
      </c>
      <c r="FO10" s="38">
        <f t="shared" si="47"/>
        <v>0</v>
      </c>
      <c r="FP10" s="39">
        <f t="shared" si="48"/>
        <v>0</v>
      </c>
      <c r="FR10" s="44" t="str" cm="1">
        <f t="array" ref="FR10">IFERROR(_xlfn.IFS($F10="Senior Staff",3040,$F10="Junior Staff",1500,$F10="Intern",0),"")</f>
        <v/>
      </c>
      <c r="FS10" s="29">
        <f>SUM(ER10:$EV10)</f>
        <v>0</v>
      </c>
      <c r="FT10" s="34">
        <f t="shared" si="49"/>
        <v>0</v>
      </c>
      <c r="FV10" s="33"/>
      <c r="FW10" s="35">
        <f t="shared" si="50"/>
        <v>0</v>
      </c>
    </row>
    <row r="11" spans="2:179" ht="20.100000000000001" customHeight="1">
      <c r="B11" s="58"/>
      <c r="C11" s="6"/>
      <c r="D11" s="57"/>
      <c r="E11" s="6"/>
      <c r="F11" s="14"/>
      <c r="G11" s="14"/>
      <c r="H11" s="81"/>
      <c r="I11" s="5"/>
      <c r="J11" s="64"/>
      <c r="K11" s="5"/>
      <c r="L11" s="65"/>
      <c r="M11" s="5"/>
      <c r="N11" s="64"/>
      <c r="O11" s="5"/>
      <c r="P11" s="65"/>
      <c r="Q11" s="5"/>
      <c r="R11" s="64"/>
      <c r="S11" s="5"/>
      <c r="T11" s="65"/>
      <c r="U11" s="5"/>
      <c r="V11" s="64"/>
      <c r="W11" s="5"/>
      <c r="X11" s="65"/>
      <c r="Y11" s="5"/>
      <c r="Z11" s="64"/>
      <c r="AA11" s="5"/>
      <c r="AB11" s="65"/>
      <c r="AC11" s="5"/>
      <c r="AD11" s="64"/>
      <c r="AE11" s="5"/>
      <c r="AF11" s="65"/>
      <c r="AG11" s="5"/>
      <c r="AH11" s="64"/>
      <c r="AI11" s="5"/>
      <c r="AJ11" s="65"/>
      <c r="AK11" s="5"/>
      <c r="AL11" s="64"/>
      <c r="AM11" s="5"/>
      <c r="AN11" s="65"/>
      <c r="AO11" s="5"/>
      <c r="AP11" s="64"/>
      <c r="AQ11" s="5"/>
      <c r="AR11" s="65"/>
      <c r="AS11" s="5"/>
      <c r="AT11" s="64"/>
      <c r="AU11" s="5"/>
      <c r="AV11" s="65"/>
      <c r="AW11" s="5"/>
      <c r="AX11" s="64"/>
      <c r="AY11" s="5"/>
      <c r="AZ11" s="65"/>
      <c r="BA11" s="5"/>
      <c r="BB11" s="64"/>
      <c r="BC11" s="5"/>
      <c r="BD11" s="65"/>
      <c r="BE11" s="5"/>
      <c r="BF11" s="64"/>
      <c r="BG11" s="5"/>
      <c r="BH11" s="65"/>
      <c r="BI11" s="5"/>
      <c r="BJ11" s="64"/>
      <c r="BK11" s="5"/>
      <c r="BL11" s="65"/>
      <c r="BM11" s="5"/>
      <c r="BN11" s="64"/>
      <c r="BO11" s="5"/>
      <c r="BP11" s="65"/>
      <c r="BQ11" s="5"/>
      <c r="BR11" s="64"/>
      <c r="BS11" s="5"/>
      <c r="BT11" s="65"/>
      <c r="BU11" s="5"/>
      <c r="BV11" s="64"/>
      <c r="BW11" s="5"/>
      <c r="BX11" s="65"/>
      <c r="BY11" s="5"/>
      <c r="BZ11" s="64"/>
      <c r="CA11" s="5"/>
      <c r="CB11" s="65"/>
      <c r="CC11" s="5"/>
      <c r="CD11" s="64"/>
      <c r="CE11" s="5"/>
      <c r="CF11" s="65"/>
      <c r="CG11" s="5"/>
      <c r="CH11" s="64"/>
      <c r="CI11" s="5"/>
      <c r="CJ11" s="65"/>
      <c r="CK11" s="5"/>
      <c r="CL11" s="64"/>
      <c r="CM11" s="5"/>
      <c r="CN11" s="65"/>
      <c r="CO11" s="5"/>
      <c r="CP11" s="64"/>
      <c r="CQ11" s="5"/>
      <c r="CR11" s="65"/>
      <c r="CS11" s="5"/>
      <c r="CT11" s="64"/>
      <c r="CU11" s="5"/>
      <c r="CV11" s="71"/>
      <c r="CX11" s="12"/>
      <c r="CY11" s="8"/>
      <c r="CZ11" s="7"/>
      <c r="DA11" s="8"/>
      <c r="DB11" s="7"/>
      <c r="DC11" s="8"/>
      <c r="DD11" s="7"/>
      <c r="DE11" s="8"/>
      <c r="DF11" s="12"/>
      <c r="DG11" s="8"/>
      <c r="DH11" s="7"/>
      <c r="DI11" s="8"/>
      <c r="DJ11" s="7"/>
      <c r="DK11" s="8"/>
      <c r="DL11" s="7"/>
      <c r="DM11" s="8"/>
      <c r="DN11" s="7"/>
      <c r="DO11" s="8"/>
      <c r="DP11" s="5"/>
      <c r="DQ11" s="13"/>
      <c r="DS11" s="12"/>
      <c r="DT11" s="8"/>
      <c r="DU11" s="7"/>
      <c r="DV11" s="8"/>
      <c r="DW11" s="7"/>
      <c r="DX11" s="8"/>
      <c r="DY11" s="7"/>
      <c r="DZ11" s="8"/>
      <c r="EA11" s="7"/>
      <c r="EB11" s="8"/>
      <c r="EC11" s="7"/>
      <c r="ED11" s="8"/>
      <c r="EE11" s="7"/>
      <c r="EF11" s="8"/>
      <c r="EG11" s="7"/>
      <c r="EH11" s="13"/>
      <c r="EJ11" s="15">
        <f t="shared" si="35"/>
        <v>0</v>
      </c>
      <c r="EK11" s="17">
        <f t="shared" si="35"/>
        <v>0</v>
      </c>
      <c r="EL11" s="17">
        <f t="shared" si="35"/>
        <v>0</v>
      </c>
      <c r="EM11" s="17">
        <f t="shared" si="35"/>
        <v>0</v>
      </c>
      <c r="EN11" s="17">
        <f t="shared" si="35"/>
        <v>0</v>
      </c>
      <c r="EO11" s="17">
        <f t="shared" si="35"/>
        <v>0</v>
      </c>
      <c r="EP11" s="17">
        <f t="shared" si="35"/>
        <v>0</v>
      </c>
      <c r="EQ11" s="17">
        <f t="shared" si="35"/>
        <v>0</v>
      </c>
      <c r="ER11" s="17">
        <f t="shared" si="35"/>
        <v>0</v>
      </c>
      <c r="ES11" s="17">
        <f t="shared" si="35"/>
        <v>0</v>
      </c>
      <c r="ET11" s="17">
        <f t="shared" si="35"/>
        <v>0</v>
      </c>
      <c r="EU11" s="17">
        <f t="shared" si="35"/>
        <v>0</v>
      </c>
      <c r="EV11" s="17">
        <f t="shared" si="35"/>
        <v>0</v>
      </c>
      <c r="EW11" s="17">
        <f t="shared" si="35"/>
        <v>0</v>
      </c>
      <c r="EX11" s="16">
        <f t="shared" si="35"/>
        <v>0</v>
      </c>
      <c r="EZ11" s="15">
        <f t="shared" si="36"/>
        <v>0</v>
      </c>
      <c r="FA11" s="16">
        <f t="shared" si="37"/>
        <v>0</v>
      </c>
      <c r="FB11" s="15">
        <f t="shared" si="38"/>
        <v>0</v>
      </c>
      <c r="FC11" s="16">
        <f t="shared" si="51"/>
        <v>0</v>
      </c>
      <c r="FD11" s="15">
        <f t="shared" si="40"/>
        <v>0</v>
      </c>
      <c r="FE11" s="16">
        <f t="shared" si="52"/>
        <v>0</v>
      </c>
      <c r="FG11" s="15">
        <f t="shared" si="42"/>
        <v>0</v>
      </c>
      <c r="FH11" s="16">
        <f t="shared" si="43"/>
        <v>0</v>
      </c>
      <c r="FJ11" s="15">
        <f t="shared" si="44"/>
        <v>0</v>
      </c>
      <c r="FK11" s="35" t="str" cm="1">
        <f t="array" ref="FK11">IFERROR(_xlfn.IFS($F11="Senior Staff",$FJ11*1250,$F11="Junior Staff",$FJ11*1000,$F11="Intern",0), "")</f>
        <v/>
      </c>
      <c r="FM11" s="36">
        <f t="shared" si="45"/>
        <v>0</v>
      </c>
      <c r="FN11" s="37">
        <f t="shared" si="46"/>
        <v>0</v>
      </c>
      <c r="FO11" s="38">
        <f t="shared" si="47"/>
        <v>0</v>
      </c>
      <c r="FP11" s="39">
        <f t="shared" si="48"/>
        <v>0</v>
      </c>
      <c r="FR11" s="44" t="str" cm="1">
        <f t="array" ref="FR11">IFERROR(_xlfn.IFS($F11="Senior Staff",3040,$F11="Junior Staff",1500,$F11="Intern",0),"")</f>
        <v/>
      </c>
      <c r="FS11" s="29">
        <f>SUM(ER11:$EV11)</f>
        <v>0</v>
      </c>
      <c r="FT11" s="34">
        <f t="shared" si="49"/>
        <v>0</v>
      </c>
      <c r="FV11" s="33"/>
      <c r="FW11" s="35">
        <f t="shared" si="50"/>
        <v>0</v>
      </c>
    </row>
    <row r="12" spans="2:179" ht="20.100000000000001" customHeight="1">
      <c r="B12" s="58"/>
      <c r="C12" s="6"/>
      <c r="D12" s="57"/>
      <c r="E12" s="6"/>
      <c r="F12" s="14"/>
      <c r="G12" s="14"/>
      <c r="H12" s="81"/>
      <c r="I12" s="5"/>
      <c r="J12" s="64"/>
      <c r="K12" s="5"/>
      <c r="L12" s="65"/>
      <c r="M12" s="5"/>
      <c r="N12" s="64"/>
      <c r="O12" s="5"/>
      <c r="P12" s="65"/>
      <c r="Q12" s="5"/>
      <c r="R12" s="64"/>
      <c r="S12" s="5"/>
      <c r="T12" s="65"/>
      <c r="U12" s="5"/>
      <c r="V12" s="64"/>
      <c r="W12" s="5"/>
      <c r="X12" s="65"/>
      <c r="Y12" s="5"/>
      <c r="Z12" s="64"/>
      <c r="AA12" s="5"/>
      <c r="AB12" s="65"/>
      <c r="AC12" s="5"/>
      <c r="AD12" s="64"/>
      <c r="AE12" s="5"/>
      <c r="AF12" s="65"/>
      <c r="AG12" s="5"/>
      <c r="AH12" s="64"/>
      <c r="AI12" s="5"/>
      <c r="AJ12" s="65"/>
      <c r="AK12" s="5"/>
      <c r="AL12" s="64"/>
      <c r="AM12" s="5"/>
      <c r="AN12" s="65"/>
      <c r="AO12" s="5"/>
      <c r="AP12" s="64"/>
      <c r="AQ12" s="5"/>
      <c r="AR12" s="65"/>
      <c r="AS12" s="5"/>
      <c r="AT12" s="64"/>
      <c r="AU12" s="5"/>
      <c r="AV12" s="65"/>
      <c r="AW12" s="5"/>
      <c r="AX12" s="64"/>
      <c r="AY12" s="5"/>
      <c r="AZ12" s="65"/>
      <c r="BA12" s="5"/>
      <c r="BB12" s="64"/>
      <c r="BC12" s="5"/>
      <c r="BD12" s="65"/>
      <c r="BE12" s="5"/>
      <c r="BF12" s="64"/>
      <c r="BG12" s="5"/>
      <c r="BH12" s="65"/>
      <c r="BI12" s="5"/>
      <c r="BJ12" s="64"/>
      <c r="BK12" s="5"/>
      <c r="BL12" s="65"/>
      <c r="BM12" s="5"/>
      <c r="BN12" s="64"/>
      <c r="BO12" s="5"/>
      <c r="BP12" s="65"/>
      <c r="BQ12" s="5"/>
      <c r="BR12" s="64"/>
      <c r="BS12" s="5"/>
      <c r="BT12" s="65"/>
      <c r="BU12" s="5"/>
      <c r="BV12" s="64"/>
      <c r="BW12" s="5"/>
      <c r="BX12" s="65"/>
      <c r="BY12" s="5"/>
      <c r="BZ12" s="64"/>
      <c r="CA12" s="5"/>
      <c r="CB12" s="65"/>
      <c r="CC12" s="5"/>
      <c r="CD12" s="64"/>
      <c r="CE12" s="5"/>
      <c r="CF12" s="65"/>
      <c r="CG12" s="5"/>
      <c r="CH12" s="64"/>
      <c r="CI12" s="5"/>
      <c r="CJ12" s="65"/>
      <c r="CK12" s="5"/>
      <c r="CL12" s="64"/>
      <c r="CM12" s="5"/>
      <c r="CN12" s="65"/>
      <c r="CO12" s="5"/>
      <c r="CP12" s="64"/>
      <c r="CQ12" s="5"/>
      <c r="CR12" s="65"/>
      <c r="CS12" s="5"/>
      <c r="CT12" s="64"/>
      <c r="CU12" s="5"/>
      <c r="CV12" s="71"/>
      <c r="CX12" s="12"/>
      <c r="CY12" s="8"/>
      <c r="CZ12" s="7"/>
      <c r="DA12" s="8"/>
      <c r="DB12" s="7"/>
      <c r="DC12" s="8"/>
      <c r="DD12" s="7"/>
      <c r="DE12" s="8"/>
      <c r="DF12" s="12"/>
      <c r="DG12" s="8"/>
      <c r="DH12" s="7"/>
      <c r="DI12" s="8"/>
      <c r="DJ12" s="7"/>
      <c r="DK12" s="8"/>
      <c r="DL12" s="7"/>
      <c r="DM12" s="8"/>
      <c r="DN12" s="7"/>
      <c r="DO12" s="8"/>
      <c r="DP12" s="5"/>
      <c r="DQ12" s="13"/>
      <c r="DS12" s="12"/>
      <c r="DT12" s="8"/>
      <c r="DU12" s="7"/>
      <c r="DV12" s="8"/>
      <c r="DW12" s="7"/>
      <c r="DX12" s="8"/>
      <c r="DY12" s="7"/>
      <c r="DZ12" s="8"/>
      <c r="EA12" s="7"/>
      <c r="EB12" s="8"/>
      <c r="EC12" s="7"/>
      <c r="ED12" s="8"/>
      <c r="EE12" s="7"/>
      <c r="EF12" s="8"/>
      <c r="EG12" s="7"/>
      <c r="EH12" s="13"/>
      <c r="EJ12" s="15">
        <f t="shared" si="35"/>
        <v>0</v>
      </c>
      <c r="EK12" s="17">
        <f t="shared" si="35"/>
        <v>0</v>
      </c>
      <c r="EL12" s="17">
        <f t="shared" si="35"/>
        <v>0</v>
      </c>
      <c r="EM12" s="17">
        <f t="shared" si="35"/>
        <v>0</v>
      </c>
      <c r="EN12" s="17">
        <f t="shared" si="35"/>
        <v>0</v>
      </c>
      <c r="EO12" s="17">
        <f t="shared" si="35"/>
        <v>0</v>
      </c>
      <c r="EP12" s="17">
        <f t="shared" si="35"/>
        <v>0</v>
      </c>
      <c r="EQ12" s="17">
        <f t="shared" si="35"/>
        <v>0</v>
      </c>
      <c r="ER12" s="17">
        <f t="shared" si="35"/>
        <v>0</v>
      </c>
      <c r="ES12" s="17">
        <f t="shared" si="35"/>
        <v>0</v>
      </c>
      <c r="ET12" s="17">
        <f t="shared" si="35"/>
        <v>0</v>
      </c>
      <c r="EU12" s="17">
        <f t="shared" si="35"/>
        <v>0</v>
      </c>
      <c r="EV12" s="17">
        <f t="shared" si="35"/>
        <v>0</v>
      </c>
      <c r="EW12" s="17">
        <f t="shared" si="35"/>
        <v>0</v>
      </c>
      <c r="EX12" s="16">
        <f t="shared" si="35"/>
        <v>0</v>
      </c>
      <c r="EZ12" s="15">
        <f t="shared" si="36"/>
        <v>0</v>
      </c>
      <c r="FA12" s="16">
        <f t="shared" si="37"/>
        <v>0</v>
      </c>
      <c r="FB12" s="15">
        <f t="shared" si="38"/>
        <v>0</v>
      </c>
      <c r="FC12" s="16">
        <f t="shared" si="51"/>
        <v>0</v>
      </c>
      <c r="FD12" s="15">
        <f t="shared" si="40"/>
        <v>0</v>
      </c>
      <c r="FE12" s="16">
        <f t="shared" si="52"/>
        <v>0</v>
      </c>
      <c r="FG12" s="15">
        <f t="shared" si="42"/>
        <v>0</v>
      </c>
      <c r="FH12" s="16">
        <f t="shared" si="43"/>
        <v>0</v>
      </c>
      <c r="FJ12" s="15">
        <f t="shared" si="44"/>
        <v>0</v>
      </c>
      <c r="FK12" s="35" t="str" cm="1">
        <f t="array" ref="FK12">IFERROR(_xlfn.IFS($F12="Senior Staff",$FJ12*1250,$F12="Junior Staff",$FJ12*1000,$F12="Intern",0), "")</f>
        <v/>
      </c>
      <c r="FM12" s="36">
        <f t="shared" si="45"/>
        <v>0</v>
      </c>
      <c r="FN12" s="37">
        <f t="shared" si="46"/>
        <v>0</v>
      </c>
      <c r="FO12" s="38">
        <f t="shared" si="47"/>
        <v>0</v>
      </c>
      <c r="FP12" s="39">
        <f t="shared" si="48"/>
        <v>0</v>
      </c>
      <c r="FR12" s="44" t="str" cm="1">
        <f t="array" ref="FR12">IFERROR(_xlfn.IFS($F12="Senior Staff",3040,$F12="Junior Staff",1500,$F12="Intern",0),"")</f>
        <v/>
      </c>
      <c r="FS12" s="29">
        <f>SUM(ER12:$EV12)</f>
        <v>0</v>
      </c>
      <c r="FT12" s="34">
        <f t="shared" si="49"/>
        <v>0</v>
      </c>
      <c r="FV12" s="33"/>
      <c r="FW12" s="35">
        <f t="shared" si="50"/>
        <v>0</v>
      </c>
    </row>
    <row r="13" spans="2:179" ht="20.100000000000001" customHeight="1">
      <c r="B13" s="58"/>
      <c r="C13" s="6"/>
      <c r="D13" s="57"/>
      <c r="E13" s="6"/>
      <c r="F13" s="14"/>
      <c r="G13" s="14"/>
      <c r="H13" s="81"/>
      <c r="I13" s="5"/>
      <c r="J13" s="64"/>
      <c r="K13" s="5"/>
      <c r="L13" s="65"/>
      <c r="M13" s="5"/>
      <c r="N13" s="64"/>
      <c r="O13" s="5"/>
      <c r="P13" s="65"/>
      <c r="Q13" s="5"/>
      <c r="R13" s="64"/>
      <c r="S13" s="5"/>
      <c r="T13" s="65"/>
      <c r="U13" s="5"/>
      <c r="V13" s="64"/>
      <c r="W13" s="5"/>
      <c r="X13" s="65"/>
      <c r="Y13" s="5"/>
      <c r="Z13" s="64"/>
      <c r="AA13" s="5"/>
      <c r="AB13" s="65"/>
      <c r="AC13" s="5"/>
      <c r="AD13" s="64"/>
      <c r="AE13" s="5"/>
      <c r="AF13" s="65"/>
      <c r="AG13" s="5"/>
      <c r="AH13" s="64"/>
      <c r="AI13" s="5"/>
      <c r="AJ13" s="65"/>
      <c r="AK13" s="5"/>
      <c r="AL13" s="64"/>
      <c r="AM13" s="5"/>
      <c r="AN13" s="65"/>
      <c r="AO13" s="5"/>
      <c r="AP13" s="64"/>
      <c r="AQ13" s="5"/>
      <c r="AR13" s="65"/>
      <c r="AS13" s="5"/>
      <c r="AT13" s="64"/>
      <c r="AU13" s="5"/>
      <c r="AV13" s="65"/>
      <c r="AW13" s="5"/>
      <c r="AX13" s="64"/>
      <c r="AY13" s="5"/>
      <c r="AZ13" s="65"/>
      <c r="BA13" s="5"/>
      <c r="BB13" s="64"/>
      <c r="BC13" s="5"/>
      <c r="BD13" s="65"/>
      <c r="BE13" s="5"/>
      <c r="BF13" s="64"/>
      <c r="BG13" s="5"/>
      <c r="BH13" s="65"/>
      <c r="BI13" s="5"/>
      <c r="BJ13" s="64"/>
      <c r="BK13" s="5"/>
      <c r="BL13" s="65"/>
      <c r="BM13" s="5"/>
      <c r="BN13" s="64"/>
      <c r="BO13" s="5"/>
      <c r="BP13" s="65"/>
      <c r="BQ13" s="5"/>
      <c r="BR13" s="64"/>
      <c r="BS13" s="5"/>
      <c r="BT13" s="65"/>
      <c r="BU13" s="5"/>
      <c r="BV13" s="64"/>
      <c r="BW13" s="5"/>
      <c r="BX13" s="65"/>
      <c r="BY13" s="5"/>
      <c r="BZ13" s="64"/>
      <c r="CA13" s="5"/>
      <c r="CB13" s="65"/>
      <c r="CC13" s="5"/>
      <c r="CD13" s="64"/>
      <c r="CE13" s="5"/>
      <c r="CF13" s="65"/>
      <c r="CG13" s="5"/>
      <c r="CH13" s="64"/>
      <c r="CI13" s="5"/>
      <c r="CJ13" s="65"/>
      <c r="CK13" s="5"/>
      <c r="CL13" s="64"/>
      <c r="CM13" s="5"/>
      <c r="CN13" s="65"/>
      <c r="CO13" s="5"/>
      <c r="CP13" s="64"/>
      <c r="CQ13" s="5"/>
      <c r="CR13" s="65"/>
      <c r="CS13" s="5"/>
      <c r="CT13" s="64"/>
      <c r="CU13" s="5"/>
      <c r="CV13" s="71"/>
      <c r="CX13" s="12"/>
      <c r="CY13" s="8"/>
      <c r="CZ13" s="7"/>
      <c r="DA13" s="8"/>
      <c r="DB13" s="7"/>
      <c r="DC13" s="8"/>
      <c r="DD13" s="7"/>
      <c r="DE13" s="8"/>
      <c r="DF13" s="12"/>
      <c r="DG13" s="8"/>
      <c r="DH13" s="7"/>
      <c r="DI13" s="8"/>
      <c r="DJ13" s="7"/>
      <c r="DK13" s="8"/>
      <c r="DL13" s="7"/>
      <c r="DM13" s="8"/>
      <c r="DN13" s="7"/>
      <c r="DO13" s="8"/>
      <c r="DP13" s="5"/>
      <c r="DQ13" s="13"/>
      <c r="DS13" s="12"/>
      <c r="DT13" s="8"/>
      <c r="DU13" s="7"/>
      <c r="DV13" s="8"/>
      <c r="DW13" s="7"/>
      <c r="DX13" s="8"/>
      <c r="DY13" s="7"/>
      <c r="DZ13" s="8"/>
      <c r="EA13" s="7"/>
      <c r="EB13" s="8"/>
      <c r="EC13" s="7"/>
      <c r="ED13" s="8"/>
      <c r="EE13" s="7"/>
      <c r="EF13" s="8"/>
      <c r="EG13" s="7"/>
      <c r="EH13" s="13"/>
      <c r="EJ13" s="15">
        <f t="shared" si="35"/>
        <v>0</v>
      </c>
      <c r="EK13" s="17">
        <f t="shared" si="35"/>
        <v>0</v>
      </c>
      <c r="EL13" s="17">
        <f t="shared" si="35"/>
        <v>0</v>
      </c>
      <c r="EM13" s="17">
        <f t="shared" si="35"/>
        <v>0</v>
      </c>
      <c r="EN13" s="17">
        <f t="shared" si="35"/>
        <v>0</v>
      </c>
      <c r="EO13" s="17">
        <f t="shared" si="35"/>
        <v>0</v>
      </c>
      <c r="EP13" s="17">
        <f t="shared" si="35"/>
        <v>0</v>
      </c>
      <c r="EQ13" s="17">
        <f t="shared" si="35"/>
        <v>0</v>
      </c>
      <c r="ER13" s="17">
        <f t="shared" si="35"/>
        <v>0</v>
      </c>
      <c r="ES13" s="17">
        <f t="shared" si="35"/>
        <v>0</v>
      </c>
      <c r="ET13" s="17">
        <f t="shared" si="35"/>
        <v>0</v>
      </c>
      <c r="EU13" s="17">
        <f t="shared" si="35"/>
        <v>0</v>
      </c>
      <c r="EV13" s="17">
        <f t="shared" si="35"/>
        <v>0</v>
      </c>
      <c r="EW13" s="17">
        <f t="shared" si="35"/>
        <v>0</v>
      </c>
      <c r="EX13" s="16">
        <f t="shared" si="35"/>
        <v>0</v>
      </c>
      <c r="EZ13" s="15">
        <f t="shared" si="36"/>
        <v>0</v>
      </c>
      <c r="FA13" s="16">
        <f t="shared" si="37"/>
        <v>0</v>
      </c>
      <c r="FB13" s="15">
        <f t="shared" si="38"/>
        <v>0</v>
      </c>
      <c r="FC13" s="16">
        <f t="shared" ref="FC13:FC32" si="53">SUM(CY13,DA13,DC13,DE13,DG13,DI13,DK13,DM13,DO13,DQ13)</f>
        <v>0</v>
      </c>
      <c r="FD13" s="15">
        <f t="shared" si="40"/>
        <v>0</v>
      </c>
      <c r="FE13" s="16">
        <f t="shared" ref="FE13:FE32" si="54">SUM(DT13,DV13,DX13,DZ13,EB13,ED13,EF13,EH13)</f>
        <v>0</v>
      </c>
      <c r="FG13" s="15">
        <f t="shared" si="42"/>
        <v>0</v>
      </c>
      <c r="FH13" s="16">
        <f t="shared" si="43"/>
        <v>0</v>
      </c>
      <c r="FJ13" s="15">
        <f t="shared" si="44"/>
        <v>0</v>
      </c>
      <c r="FK13" s="35" t="str" cm="1">
        <f t="array" ref="FK13">IFERROR(_xlfn.IFS($F13="Senior Staff",$FJ13*1250,$F13="Junior Staff",$FJ13*1000,$F13="Intern",0), "")</f>
        <v/>
      </c>
      <c r="FM13" s="36">
        <f t="shared" si="45"/>
        <v>0</v>
      </c>
      <c r="FN13" s="37">
        <f t="shared" si="46"/>
        <v>0</v>
      </c>
      <c r="FO13" s="38">
        <f t="shared" si="47"/>
        <v>0</v>
      </c>
      <c r="FP13" s="39">
        <f t="shared" si="48"/>
        <v>0</v>
      </c>
      <c r="FR13" s="44" t="str" cm="1">
        <f t="array" ref="FR13">IFERROR(_xlfn.IFS($F13="Senior Staff",3040,$F13="Junior Staff",1500,$F13="Intern",0),"")</f>
        <v/>
      </c>
      <c r="FS13" s="29">
        <f>SUM(ER13:$EV13)</f>
        <v>0</v>
      </c>
      <c r="FT13" s="34">
        <f t="shared" si="49"/>
        <v>0</v>
      </c>
      <c r="FV13" s="33"/>
      <c r="FW13" s="35">
        <f t="shared" si="50"/>
        <v>0</v>
      </c>
    </row>
    <row r="14" spans="2:179" ht="20.100000000000001" customHeight="1">
      <c r="B14" s="58"/>
      <c r="C14" s="6"/>
      <c r="D14" s="57"/>
      <c r="E14" s="6"/>
      <c r="F14" s="14"/>
      <c r="G14" s="14"/>
      <c r="H14" s="81"/>
      <c r="I14" s="5"/>
      <c r="J14" s="64"/>
      <c r="K14" s="5"/>
      <c r="L14" s="65"/>
      <c r="M14" s="5"/>
      <c r="N14" s="64"/>
      <c r="O14" s="5"/>
      <c r="P14" s="65"/>
      <c r="Q14" s="5"/>
      <c r="R14" s="64"/>
      <c r="S14" s="5"/>
      <c r="T14" s="65"/>
      <c r="U14" s="5"/>
      <c r="V14" s="64"/>
      <c r="W14" s="5"/>
      <c r="X14" s="65"/>
      <c r="Y14" s="5"/>
      <c r="Z14" s="64"/>
      <c r="AA14" s="5"/>
      <c r="AB14" s="65"/>
      <c r="AC14" s="5"/>
      <c r="AD14" s="64"/>
      <c r="AE14" s="5"/>
      <c r="AF14" s="65"/>
      <c r="AG14" s="5"/>
      <c r="AH14" s="64"/>
      <c r="AI14" s="5"/>
      <c r="AJ14" s="65"/>
      <c r="AK14" s="5"/>
      <c r="AL14" s="64"/>
      <c r="AM14" s="5"/>
      <c r="AN14" s="65"/>
      <c r="AO14" s="5"/>
      <c r="AP14" s="64"/>
      <c r="AQ14" s="5"/>
      <c r="AR14" s="65"/>
      <c r="AS14" s="5"/>
      <c r="AT14" s="64"/>
      <c r="AU14" s="5"/>
      <c r="AV14" s="65"/>
      <c r="AW14" s="5"/>
      <c r="AX14" s="64"/>
      <c r="AY14" s="5"/>
      <c r="AZ14" s="65"/>
      <c r="BA14" s="5"/>
      <c r="BB14" s="64"/>
      <c r="BC14" s="5"/>
      <c r="BD14" s="65"/>
      <c r="BE14" s="5"/>
      <c r="BF14" s="64"/>
      <c r="BG14" s="5"/>
      <c r="BH14" s="65"/>
      <c r="BI14" s="5"/>
      <c r="BJ14" s="64"/>
      <c r="BK14" s="5"/>
      <c r="BL14" s="65"/>
      <c r="BM14" s="5"/>
      <c r="BN14" s="64"/>
      <c r="BO14" s="5"/>
      <c r="BP14" s="65"/>
      <c r="BQ14" s="5"/>
      <c r="BR14" s="64"/>
      <c r="BS14" s="5"/>
      <c r="BT14" s="65"/>
      <c r="BU14" s="5"/>
      <c r="BV14" s="64"/>
      <c r="BW14" s="5"/>
      <c r="BX14" s="65"/>
      <c r="BY14" s="5"/>
      <c r="BZ14" s="64"/>
      <c r="CA14" s="5"/>
      <c r="CB14" s="65"/>
      <c r="CC14" s="5"/>
      <c r="CD14" s="64"/>
      <c r="CE14" s="5"/>
      <c r="CF14" s="65"/>
      <c r="CG14" s="5"/>
      <c r="CH14" s="64"/>
      <c r="CI14" s="5"/>
      <c r="CJ14" s="65"/>
      <c r="CK14" s="5"/>
      <c r="CL14" s="64"/>
      <c r="CM14" s="5"/>
      <c r="CN14" s="65"/>
      <c r="CO14" s="5"/>
      <c r="CP14" s="64"/>
      <c r="CQ14" s="5"/>
      <c r="CR14" s="65"/>
      <c r="CS14" s="5"/>
      <c r="CT14" s="64"/>
      <c r="CU14" s="5"/>
      <c r="CV14" s="71"/>
      <c r="CX14" s="12"/>
      <c r="CY14" s="8"/>
      <c r="CZ14" s="7"/>
      <c r="DA14" s="8"/>
      <c r="DB14" s="7"/>
      <c r="DC14" s="8"/>
      <c r="DD14" s="7"/>
      <c r="DE14" s="8"/>
      <c r="DF14" s="12"/>
      <c r="DG14" s="8"/>
      <c r="DH14" s="7"/>
      <c r="DI14" s="8"/>
      <c r="DJ14" s="7"/>
      <c r="DK14" s="8"/>
      <c r="DL14" s="7"/>
      <c r="DM14" s="8"/>
      <c r="DN14" s="7"/>
      <c r="DO14" s="8"/>
      <c r="DP14" s="5"/>
      <c r="DQ14" s="13"/>
      <c r="DS14" s="12"/>
      <c r="DT14" s="8"/>
      <c r="DU14" s="7"/>
      <c r="DV14" s="8"/>
      <c r="DW14" s="7"/>
      <c r="DX14" s="8"/>
      <c r="DY14" s="7"/>
      <c r="DZ14" s="8"/>
      <c r="EA14" s="7"/>
      <c r="EB14" s="8"/>
      <c r="EC14" s="7"/>
      <c r="ED14" s="8"/>
      <c r="EE14" s="7"/>
      <c r="EF14" s="8"/>
      <c r="EG14" s="7"/>
      <c r="EH14" s="13"/>
      <c r="EJ14" s="15">
        <f t="shared" si="35"/>
        <v>0</v>
      </c>
      <c r="EK14" s="17">
        <f t="shared" si="35"/>
        <v>0</v>
      </c>
      <c r="EL14" s="17">
        <f t="shared" si="35"/>
        <v>0</v>
      </c>
      <c r="EM14" s="17">
        <f t="shared" si="35"/>
        <v>0</v>
      </c>
      <c r="EN14" s="17">
        <f t="shared" si="35"/>
        <v>0</v>
      </c>
      <c r="EO14" s="17">
        <f t="shared" si="35"/>
        <v>0</v>
      </c>
      <c r="EP14" s="17">
        <f t="shared" si="35"/>
        <v>0</v>
      </c>
      <c r="EQ14" s="17">
        <f t="shared" si="35"/>
        <v>0</v>
      </c>
      <c r="ER14" s="17">
        <f t="shared" si="35"/>
        <v>0</v>
      </c>
      <c r="ES14" s="17">
        <f t="shared" si="35"/>
        <v>0</v>
      </c>
      <c r="ET14" s="17">
        <f t="shared" si="35"/>
        <v>0</v>
      </c>
      <c r="EU14" s="17">
        <f t="shared" si="35"/>
        <v>0</v>
      </c>
      <c r="EV14" s="17">
        <f t="shared" si="35"/>
        <v>0</v>
      </c>
      <c r="EW14" s="17">
        <f t="shared" si="35"/>
        <v>0</v>
      </c>
      <c r="EX14" s="16">
        <f t="shared" si="35"/>
        <v>0</v>
      </c>
      <c r="EZ14" s="15">
        <f t="shared" si="36"/>
        <v>0</v>
      </c>
      <c r="FA14" s="16">
        <f t="shared" si="37"/>
        <v>0</v>
      </c>
      <c r="FB14" s="15">
        <f t="shared" si="38"/>
        <v>0</v>
      </c>
      <c r="FC14" s="16">
        <f t="shared" si="53"/>
        <v>0</v>
      </c>
      <c r="FD14" s="15">
        <f t="shared" si="40"/>
        <v>0</v>
      </c>
      <c r="FE14" s="16">
        <f t="shared" si="54"/>
        <v>0</v>
      </c>
      <c r="FG14" s="15">
        <f t="shared" si="42"/>
        <v>0</v>
      </c>
      <c r="FH14" s="16">
        <f t="shared" si="43"/>
        <v>0</v>
      </c>
      <c r="FJ14" s="15">
        <f t="shared" si="44"/>
        <v>0</v>
      </c>
      <c r="FK14" s="35" t="str" cm="1">
        <f t="array" ref="FK14">IFERROR(_xlfn.IFS($F14="Senior Staff",$FJ14*1250,$F14="Junior Staff",$FJ14*1000,$F14="Intern",0), "")</f>
        <v/>
      </c>
      <c r="FM14" s="36">
        <f t="shared" si="45"/>
        <v>0</v>
      </c>
      <c r="FN14" s="37">
        <f t="shared" si="46"/>
        <v>0</v>
      </c>
      <c r="FO14" s="38">
        <f t="shared" si="47"/>
        <v>0</v>
      </c>
      <c r="FP14" s="39">
        <f t="shared" si="48"/>
        <v>0</v>
      </c>
      <c r="FR14" s="44" t="str" cm="1">
        <f t="array" ref="FR14">IFERROR(_xlfn.IFS($F14="Senior Staff",3040,$F14="Junior Staff",1500,$F14="Intern",0),"")</f>
        <v/>
      </c>
      <c r="FS14" s="29">
        <f>SUM(ER14:$EV14)</f>
        <v>0</v>
      </c>
      <c r="FT14" s="34">
        <f t="shared" si="49"/>
        <v>0</v>
      </c>
      <c r="FV14" s="33"/>
      <c r="FW14" s="35">
        <f t="shared" si="50"/>
        <v>0</v>
      </c>
    </row>
    <row r="15" spans="2:179" ht="20.100000000000001" customHeight="1">
      <c r="B15" s="58"/>
      <c r="C15" s="6"/>
      <c r="D15" s="57"/>
      <c r="E15" s="6"/>
      <c r="F15" s="14"/>
      <c r="G15" s="14"/>
      <c r="H15" s="81"/>
      <c r="I15" s="5"/>
      <c r="J15" s="64"/>
      <c r="K15" s="5"/>
      <c r="L15" s="65"/>
      <c r="M15" s="5"/>
      <c r="N15" s="64"/>
      <c r="O15" s="5"/>
      <c r="P15" s="65"/>
      <c r="Q15" s="5"/>
      <c r="R15" s="64"/>
      <c r="S15" s="5"/>
      <c r="T15" s="65"/>
      <c r="U15" s="5"/>
      <c r="V15" s="64"/>
      <c r="W15" s="5"/>
      <c r="X15" s="65"/>
      <c r="Y15" s="5"/>
      <c r="Z15" s="64"/>
      <c r="AA15" s="5"/>
      <c r="AB15" s="65"/>
      <c r="AC15" s="5"/>
      <c r="AD15" s="64"/>
      <c r="AE15" s="5"/>
      <c r="AF15" s="65"/>
      <c r="AG15" s="5"/>
      <c r="AH15" s="64"/>
      <c r="AI15" s="5"/>
      <c r="AJ15" s="65"/>
      <c r="AK15" s="5"/>
      <c r="AL15" s="64"/>
      <c r="AM15" s="5"/>
      <c r="AN15" s="65"/>
      <c r="AO15" s="5"/>
      <c r="AP15" s="64"/>
      <c r="AQ15" s="5"/>
      <c r="AR15" s="65"/>
      <c r="AS15" s="5"/>
      <c r="AT15" s="64"/>
      <c r="AU15" s="5"/>
      <c r="AV15" s="65"/>
      <c r="AW15" s="5"/>
      <c r="AX15" s="64"/>
      <c r="AY15" s="5"/>
      <c r="AZ15" s="65"/>
      <c r="BA15" s="5"/>
      <c r="BB15" s="64"/>
      <c r="BC15" s="5"/>
      <c r="BD15" s="65"/>
      <c r="BE15" s="5"/>
      <c r="BF15" s="64"/>
      <c r="BG15" s="5"/>
      <c r="BH15" s="65"/>
      <c r="BI15" s="5"/>
      <c r="BJ15" s="64"/>
      <c r="BK15" s="5"/>
      <c r="BL15" s="65"/>
      <c r="BM15" s="5"/>
      <c r="BN15" s="64"/>
      <c r="BO15" s="5"/>
      <c r="BP15" s="65"/>
      <c r="BQ15" s="5"/>
      <c r="BR15" s="64"/>
      <c r="BS15" s="5"/>
      <c r="BT15" s="65"/>
      <c r="BU15" s="5"/>
      <c r="BV15" s="64"/>
      <c r="BW15" s="5"/>
      <c r="BX15" s="65"/>
      <c r="BY15" s="5"/>
      <c r="BZ15" s="64"/>
      <c r="CA15" s="5"/>
      <c r="CB15" s="65"/>
      <c r="CC15" s="5"/>
      <c r="CD15" s="64"/>
      <c r="CE15" s="5"/>
      <c r="CF15" s="65"/>
      <c r="CG15" s="5"/>
      <c r="CH15" s="64"/>
      <c r="CI15" s="5"/>
      <c r="CJ15" s="65"/>
      <c r="CK15" s="5"/>
      <c r="CL15" s="64"/>
      <c r="CM15" s="5"/>
      <c r="CN15" s="65"/>
      <c r="CO15" s="5"/>
      <c r="CP15" s="64"/>
      <c r="CQ15" s="5"/>
      <c r="CR15" s="65"/>
      <c r="CS15" s="5"/>
      <c r="CT15" s="64"/>
      <c r="CU15" s="5"/>
      <c r="CV15" s="71"/>
      <c r="CX15" s="12"/>
      <c r="CY15" s="8"/>
      <c r="CZ15" s="7"/>
      <c r="DA15" s="8"/>
      <c r="DB15" s="7"/>
      <c r="DC15" s="8"/>
      <c r="DD15" s="7"/>
      <c r="DE15" s="8"/>
      <c r="DF15" s="12"/>
      <c r="DG15" s="8"/>
      <c r="DH15" s="7"/>
      <c r="DI15" s="8"/>
      <c r="DJ15" s="7"/>
      <c r="DK15" s="8"/>
      <c r="DL15" s="7"/>
      <c r="DM15" s="8"/>
      <c r="DN15" s="7"/>
      <c r="DO15" s="8"/>
      <c r="DP15" s="5"/>
      <c r="DQ15" s="13"/>
      <c r="DS15" s="12"/>
      <c r="DT15" s="8"/>
      <c r="DU15" s="7"/>
      <c r="DV15" s="8"/>
      <c r="DW15" s="7"/>
      <c r="DX15" s="8"/>
      <c r="DY15" s="7"/>
      <c r="DZ15" s="8"/>
      <c r="EA15" s="7"/>
      <c r="EB15" s="8"/>
      <c r="EC15" s="7"/>
      <c r="ED15" s="8"/>
      <c r="EE15" s="7"/>
      <c r="EF15" s="8"/>
      <c r="EG15" s="7"/>
      <c r="EH15" s="13"/>
      <c r="EJ15" s="15">
        <f t="shared" ref="EJ15:EX24" si="55">COUNTIF($I15:$CV15,EJ$5)</f>
        <v>0</v>
      </c>
      <c r="EK15" s="17">
        <f t="shared" si="55"/>
        <v>0</v>
      </c>
      <c r="EL15" s="17">
        <f t="shared" si="55"/>
        <v>0</v>
      </c>
      <c r="EM15" s="17">
        <f t="shared" si="55"/>
        <v>0</v>
      </c>
      <c r="EN15" s="17">
        <f t="shared" si="55"/>
        <v>0</v>
      </c>
      <c r="EO15" s="17">
        <f t="shared" si="55"/>
        <v>0</v>
      </c>
      <c r="EP15" s="17">
        <f t="shared" si="55"/>
        <v>0</v>
      </c>
      <c r="EQ15" s="17">
        <f t="shared" si="55"/>
        <v>0</v>
      </c>
      <c r="ER15" s="17">
        <f t="shared" si="55"/>
        <v>0</v>
      </c>
      <c r="ES15" s="17">
        <f t="shared" si="55"/>
        <v>0</v>
      </c>
      <c r="ET15" s="17">
        <f t="shared" si="55"/>
        <v>0</v>
      </c>
      <c r="EU15" s="17">
        <f t="shared" si="55"/>
        <v>0</v>
      </c>
      <c r="EV15" s="17">
        <f t="shared" si="55"/>
        <v>0</v>
      </c>
      <c r="EW15" s="17">
        <f t="shared" si="55"/>
        <v>0</v>
      </c>
      <c r="EX15" s="16">
        <f t="shared" si="55"/>
        <v>0</v>
      </c>
      <c r="EZ15" s="15">
        <f t="shared" si="36"/>
        <v>0</v>
      </c>
      <c r="FA15" s="16">
        <f t="shared" si="37"/>
        <v>0</v>
      </c>
      <c r="FB15" s="15">
        <f t="shared" si="38"/>
        <v>0</v>
      </c>
      <c r="FC15" s="16">
        <f t="shared" si="53"/>
        <v>0</v>
      </c>
      <c r="FD15" s="15">
        <f t="shared" si="40"/>
        <v>0</v>
      </c>
      <c r="FE15" s="16">
        <f t="shared" si="54"/>
        <v>0</v>
      </c>
      <c r="FG15" s="15">
        <f t="shared" si="42"/>
        <v>0</v>
      </c>
      <c r="FH15" s="16">
        <f t="shared" si="43"/>
        <v>0</v>
      </c>
      <c r="FJ15" s="15">
        <f t="shared" si="44"/>
        <v>0</v>
      </c>
      <c r="FK15" s="35" t="str" cm="1">
        <f t="array" ref="FK15">IFERROR(_xlfn.IFS($F15="Senior Staff",$FJ15*1250,$F15="Junior Staff",$FJ15*1000,$F15="Intern",0), "")</f>
        <v/>
      </c>
      <c r="FM15" s="36">
        <f t="shared" si="45"/>
        <v>0</v>
      </c>
      <c r="FN15" s="37">
        <f t="shared" si="46"/>
        <v>0</v>
      </c>
      <c r="FO15" s="38">
        <f t="shared" si="47"/>
        <v>0</v>
      </c>
      <c r="FP15" s="39">
        <f t="shared" si="48"/>
        <v>0</v>
      </c>
      <c r="FR15" s="44" t="str" cm="1">
        <f t="array" ref="FR15">IFERROR(_xlfn.IFS($F15="Senior Staff",3040,$F15="Junior Staff",1500,$F15="Intern",0),"")</f>
        <v/>
      </c>
      <c r="FS15" s="29">
        <f>SUM(ER15:$EV15)</f>
        <v>0</v>
      </c>
      <c r="FT15" s="34">
        <f t="shared" si="49"/>
        <v>0</v>
      </c>
      <c r="FV15" s="33"/>
      <c r="FW15" s="35">
        <f t="shared" si="50"/>
        <v>0</v>
      </c>
    </row>
    <row r="16" spans="2:179" ht="20.100000000000001" customHeight="1">
      <c r="B16" s="58"/>
      <c r="C16" s="6"/>
      <c r="D16" s="57"/>
      <c r="E16" s="6"/>
      <c r="F16" s="14"/>
      <c r="G16" s="14"/>
      <c r="H16" s="81"/>
      <c r="I16" s="5"/>
      <c r="J16" s="64"/>
      <c r="K16" s="5"/>
      <c r="L16" s="65"/>
      <c r="M16" s="5"/>
      <c r="N16" s="64"/>
      <c r="O16" s="5"/>
      <c r="P16" s="65"/>
      <c r="Q16" s="5"/>
      <c r="R16" s="64"/>
      <c r="S16" s="5"/>
      <c r="T16" s="65"/>
      <c r="U16" s="5"/>
      <c r="V16" s="64"/>
      <c r="W16" s="5"/>
      <c r="X16" s="65"/>
      <c r="Y16" s="5"/>
      <c r="Z16" s="64"/>
      <c r="AA16" s="5"/>
      <c r="AB16" s="65"/>
      <c r="AC16" s="5"/>
      <c r="AD16" s="64"/>
      <c r="AE16" s="5"/>
      <c r="AF16" s="65"/>
      <c r="AG16" s="5"/>
      <c r="AH16" s="64"/>
      <c r="AI16" s="5"/>
      <c r="AJ16" s="65"/>
      <c r="AK16" s="5"/>
      <c r="AL16" s="64"/>
      <c r="AM16" s="5"/>
      <c r="AN16" s="65"/>
      <c r="AO16" s="5"/>
      <c r="AP16" s="64"/>
      <c r="AQ16" s="5"/>
      <c r="AR16" s="65"/>
      <c r="AS16" s="5"/>
      <c r="AT16" s="64"/>
      <c r="AU16" s="5"/>
      <c r="AV16" s="65"/>
      <c r="AW16" s="5"/>
      <c r="AX16" s="64"/>
      <c r="AY16" s="5"/>
      <c r="AZ16" s="65"/>
      <c r="BA16" s="5"/>
      <c r="BB16" s="64"/>
      <c r="BC16" s="5"/>
      <c r="BD16" s="65"/>
      <c r="BE16" s="5"/>
      <c r="BF16" s="64"/>
      <c r="BG16" s="5"/>
      <c r="BH16" s="65"/>
      <c r="BI16" s="5"/>
      <c r="BJ16" s="64"/>
      <c r="BK16" s="5"/>
      <c r="BL16" s="65"/>
      <c r="BM16" s="5"/>
      <c r="BN16" s="64"/>
      <c r="BO16" s="5"/>
      <c r="BP16" s="65"/>
      <c r="BQ16" s="5"/>
      <c r="BR16" s="64"/>
      <c r="BS16" s="5"/>
      <c r="BT16" s="65"/>
      <c r="BU16" s="5"/>
      <c r="BV16" s="64"/>
      <c r="BW16" s="5"/>
      <c r="BX16" s="65"/>
      <c r="BY16" s="5"/>
      <c r="BZ16" s="64"/>
      <c r="CA16" s="5"/>
      <c r="CB16" s="65"/>
      <c r="CC16" s="5"/>
      <c r="CD16" s="64"/>
      <c r="CE16" s="5"/>
      <c r="CF16" s="65"/>
      <c r="CG16" s="5"/>
      <c r="CH16" s="64"/>
      <c r="CI16" s="5"/>
      <c r="CJ16" s="65"/>
      <c r="CK16" s="5"/>
      <c r="CL16" s="64"/>
      <c r="CM16" s="5"/>
      <c r="CN16" s="65"/>
      <c r="CO16" s="5"/>
      <c r="CP16" s="64"/>
      <c r="CQ16" s="5"/>
      <c r="CR16" s="65"/>
      <c r="CS16" s="5"/>
      <c r="CT16" s="64"/>
      <c r="CU16" s="5"/>
      <c r="CV16" s="71"/>
      <c r="CX16" s="12"/>
      <c r="CY16" s="8"/>
      <c r="CZ16" s="7"/>
      <c r="DA16" s="8"/>
      <c r="DB16" s="7"/>
      <c r="DC16" s="8"/>
      <c r="DD16" s="7"/>
      <c r="DE16" s="8"/>
      <c r="DF16" s="12"/>
      <c r="DG16" s="8"/>
      <c r="DH16" s="7"/>
      <c r="DI16" s="8"/>
      <c r="DJ16" s="7"/>
      <c r="DK16" s="8"/>
      <c r="DL16" s="7"/>
      <c r="DM16" s="8"/>
      <c r="DN16" s="7"/>
      <c r="DO16" s="8"/>
      <c r="DP16" s="5"/>
      <c r="DQ16" s="13"/>
      <c r="DS16" s="12"/>
      <c r="DT16" s="8"/>
      <c r="DU16" s="7"/>
      <c r="DV16" s="8"/>
      <c r="DW16" s="7"/>
      <c r="DX16" s="8"/>
      <c r="DY16" s="7"/>
      <c r="DZ16" s="8"/>
      <c r="EA16" s="7"/>
      <c r="EB16" s="8"/>
      <c r="EC16" s="7"/>
      <c r="ED16" s="8"/>
      <c r="EE16" s="7"/>
      <c r="EF16" s="8"/>
      <c r="EG16" s="7"/>
      <c r="EH16" s="13"/>
      <c r="EJ16" s="15">
        <f t="shared" si="55"/>
        <v>0</v>
      </c>
      <c r="EK16" s="17">
        <f t="shared" si="55"/>
        <v>0</v>
      </c>
      <c r="EL16" s="17">
        <f t="shared" si="55"/>
        <v>0</v>
      </c>
      <c r="EM16" s="17">
        <f t="shared" si="55"/>
        <v>0</v>
      </c>
      <c r="EN16" s="17">
        <f t="shared" si="55"/>
        <v>0</v>
      </c>
      <c r="EO16" s="17">
        <f t="shared" si="55"/>
        <v>0</v>
      </c>
      <c r="EP16" s="17">
        <f t="shared" si="55"/>
        <v>0</v>
      </c>
      <c r="EQ16" s="17">
        <f t="shared" si="55"/>
        <v>0</v>
      </c>
      <c r="ER16" s="17">
        <f t="shared" si="55"/>
        <v>0</v>
      </c>
      <c r="ES16" s="17">
        <f t="shared" si="55"/>
        <v>0</v>
      </c>
      <c r="ET16" s="17">
        <f t="shared" si="55"/>
        <v>0</v>
      </c>
      <c r="EU16" s="17">
        <f t="shared" si="55"/>
        <v>0</v>
      </c>
      <c r="EV16" s="17">
        <f t="shared" si="55"/>
        <v>0</v>
      </c>
      <c r="EW16" s="17">
        <f t="shared" si="55"/>
        <v>0</v>
      </c>
      <c r="EX16" s="16">
        <f t="shared" si="55"/>
        <v>0</v>
      </c>
      <c r="EZ16" s="15">
        <f t="shared" si="36"/>
        <v>0</v>
      </c>
      <c r="FA16" s="16">
        <f t="shared" si="37"/>
        <v>0</v>
      </c>
      <c r="FB16" s="15">
        <f t="shared" si="38"/>
        <v>0</v>
      </c>
      <c r="FC16" s="16">
        <f t="shared" si="53"/>
        <v>0</v>
      </c>
      <c r="FD16" s="15">
        <f t="shared" si="40"/>
        <v>0</v>
      </c>
      <c r="FE16" s="16">
        <f t="shared" si="54"/>
        <v>0</v>
      </c>
      <c r="FG16" s="15">
        <f t="shared" si="42"/>
        <v>0</v>
      </c>
      <c r="FH16" s="16">
        <f t="shared" si="43"/>
        <v>0</v>
      </c>
      <c r="FJ16" s="15">
        <f t="shared" si="44"/>
        <v>0</v>
      </c>
      <c r="FK16" s="35" t="str" cm="1">
        <f t="array" ref="FK16">IFERROR(_xlfn.IFS($F16="Senior Staff",$FJ16*1250,$F16="Junior Staff",$FJ16*1000,$F16="Intern",0), "")</f>
        <v/>
      </c>
      <c r="FM16" s="36">
        <f t="shared" si="45"/>
        <v>0</v>
      </c>
      <c r="FN16" s="37">
        <f t="shared" si="46"/>
        <v>0</v>
      </c>
      <c r="FO16" s="38">
        <f t="shared" si="47"/>
        <v>0</v>
      </c>
      <c r="FP16" s="39">
        <f t="shared" si="48"/>
        <v>0</v>
      </c>
      <c r="FR16" s="44" t="str" cm="1">
        <f t="array" ref="FR16">IFERROR(_xlfn.IFS($F16="Senior Staff",3040,$F16="Junior Staff",1500,$F16="Intern",0),"")</f>
        <v/>
      </c>
      <c r="FS16" s="29">
        <f>SUM(ER16:$EV16)</f>
        <v>0</v>
      </c>
      <c r="FT16" s="34">
        <f t="shared" si="49"/>
        <v>0</v>
      </c>
      <c r="FV16" s="33"/>
      <c r="FW16" s="35">
        <f t="shared" si="50"/>
        <v>0</v>
      </c>
    </row>
    <row r="17" spans="2:179" ht="20.100000000000001" customHeight="1">
      <c r="B17" s="58"/>
      <c r="C17" s="6"/>
      <c r="D17" s="57"/>
      <c r="E17" s="6"/>
      <c r="F17" s="14"/>
      <c r="G17" s="14"/>
      <c r="H17" s="81"/>
      <c r="I17" s="5"/>
      <c r="J17" s="64"/>
      <c r="K17" s="5"/>
      <c r="L17" s="65"/>
      <c r="M17" s="5"/>
      <c r="N17" s="64"/>
      <c r="O17" s="5"/>
      <c r="P17" s="65"/>
      <c r="Q17" s="5"/>
      <c r="R17" s="64"/>
      <c r="S17" s="5"/>
      <c r="T17" s="65"/>
      <c r="U17" s="5"/>
      <c r="V17" s="64"/>
      <c r="W17" s="5"/>
      <c r="X17" s="65"/>
      <c r="Y17" s="5"/>
      <c r="Z17" s="64"/>
      <c r="AA17" s="5"/>
      <c r="AB17" s="65"/>
      <c r="AC17" s="5"/>
      <c r="AD17" s="64"/>
      <c r="AE17" s="5"/>
      <c r="AF17" s="65"/>
      <c r="AG17" s="5"/>
      <c r="AH17" s="64"/>
      <c r="AI17" s="5"/>
      <c r="AJ17" s="65"/>
      <c r="AK17" s="5"/>
      <c r="AL17" s="64"/>
      <c r="AM17" s="5"/>
      <c r="AN17" s="65"/>
      <c r="AO17" s="5"/>
      <c r="AP17" s="64"/>
      <c r="AQ17" s="5"/>
      <c r="AR17" s="65"/>
      <c r="AS17" s="5"/>
      <c r="AT17" s="64"/>
      <c r="AU17" s="5"/>
      <c r="AV17" s="65"/>
      <c r="AW17" s="5"/>
      <c r="AX17" s="64"/>
      <c r="AY17" s="5"/>
      <c r="AZ17" s="65"/>
      <c r="BA17" s="5"/>
      <c r="BB17" s="64"/>
      <c r="BC17" s="5"/>
      <c r="BD17" s="65"/>
      <c r="BE17" s="5"/>
      <c r="BF17" s="64"/>
      <c r="BG17" s="5"/>
      <c r="BH17" s="65"/>
      <c r="BI17" s="5"/>
      <c r="BJ17" s="64"/>
      <c r="BK17" s="5"/>
      <c r="BL17" s="65"/>
      <c r="BM17" s="5"/>
      <c r="BN17" s="64"/>
      <c r="BO17" s="5"/>
      <c r="BP17" s="65"/>
      <c r="BQ17" s="5"/>
      <c r="BR17" s="64"/>
      <c r="BS17" s="5"/>
      <c r="BT17" s="65"/>
      <c r="BU17" s="5"/>
      <c r="BV17" s="64"/>
      <c r="BW17" s="5"/>
      <c r="BX17" s="65"/>
      <c r="BY17" s="5"/>
      <c r="BZ17" s="64"/>
      <c r="CA17" s="5"/>
      <c r="CB17" s="65"/>
      <c r="CC17" s="5"/>
      <c r="CD17" s="64"/>
      <c r="CE17" s="5"/>
      <c r="CF17" s="65"/>
      <c r="CG17" s="5"/>
      <c r="CH17" s="64"/>
      <c r="CI17" s="5"/>
      <c r="CJ17" s="65"/>
      <c r="CK17" s="5"/>
      <c r="CL17" s="64"/>
      <c r="CM17" s="5"/>
      <c r="CN17" s="65"/>
      <c r="CO17" s="5"/>
      <c r="CP17" s="64"/>
      <c r="CQ17" s="5"/>
      <c r="CR17" s="65"/>
      <c r="CS17" s="5"/>
      <c r="CT17" s="64"/>
      <c r="CU17" s="5"/>
      <c r="CV17" s="71"/>
      <c r="CX17" s="12"/>
      <c r="CY17" s="8"/>
      <c r="CZ17" s="7"/>
      <c r="DA17" s="8"/>
      <c r="DB17" s="7"/>
      <c r="DC17" s="8"/>
      <c r="DD17" s="7"/>
      <c r="DE17" s="8"/>
      <c r="DF17" s="12"/>
      <c r="DG17" s="8"/>
      <c r="DH17" s="7"/>
      <c r="DI17" s="8"/>
      <c r="DJ17" s="7"/>
      <c r="DK17" s="8"/>
      <c r="DL17" s="7"/>
      <c r="DM17" s="8"/>
      <c r="DN17" s="7"/>
      <c r="DO17" s="8"/>
      <c r="DP17" s="5"/>
      <c r="DQ17" s="13"/>
      <c r="DS17" s="12"/>
      <c r="DT17" s="8"/>
      <c r="DU17" s="7"/>
      <c r="DV17" s="8"/>
      <c r="DW17" s="7"/>
      <c r="DX17" s="8"/>
      <c r="DY17" s="7"/>
      <c r="DZ17" s="8"/>
      <c r="EA17" s="7"/>
      <c r="EB17" s="8"/>
      <c r="EC17" s="7"/>
      <c r="ED17" s="8"/>
      <c r="EE17" s="7"/>
      <c r="EF17" s="8"/>
      <c r="EG17" s="7"/>
      <c r="EH17" s="13"/>
      <c r="EJ17" s="15">
        <f t="shared" si="55"/>
        <v>0</v>
      </c>
      <c r="EK17" s="17">
        <f t="shared" si="55"/>
        <v>0</v>
      </c>
      <c r="EL17" s="17">
        <f t="shared" si="55"/>
        <v>0</v>
      </c>
      <c r="EM17" s="17">
        <f t="shared" si="55"/>
        <v>0</v>
      </c>
      <c r="EN17" s="17">
        <f t="shared" si="55"/>
        <v>0</v>
      </c>
      <c r="EO17" s="17">
        <f t="shared" si="55"/>
        <v>0</v>
      </c>
      <c r="EP17" s="17">
        <f t="shared" si="55"/>
        <v>0</v>
      </c>
      <c r="EQ17" s="17">
        <f t="shared" si="55"/>
        <v>0</v>
      </c>
      <c r="ER17" s="17">
        <f t="shared" si="55"/>
        <v>0</v>
      </c>
      <c r="ES17" s="17">
        <f t="shared" si="55"/>
        <v>0</v>
      </c>
      <c r="ET17" s="17">
        <f t="shared" si="55"/>
        <v>0</v>
      </c>
      <c r="EU17" s="17">
        <f t="shared" si="55"/>
        <v>0</v>
      </c>
      <c r="EV17" s="17">
        <f t="shared" si="55"/>
        <v>0</v>
      </c>
      <c r="EW17" s="17">
        <f t="shared" si="55"/>
        <v>0</v>
      </c>
      <c r="EX17" s="16">
        <f t="shared" si="55"/>
        <v>0</v>
      </c>
      <c r="EZ17" s="15">
        <f t="shared" si="36"/>
        <v>0</v>
      </c>
      <c r="FA17" s="16">
        <f t="shared" si="37"/>
        <v>0</v>
      </c>
      <c r="FB17" s="15">
        <f t="shared" si="38"/>
        <v>0</v>
      </c>
      <c r="FC17" s="16">
        <f t="shared" si="53"/>
        <v>0</v>
      </c>
      <c r="FD17" s="15">
        <f t="shared" si="40"/>
        <v>0</v>
      </c>
      <c r="FE17" s="16">
        <f t="shared" si="54"/>
        <v>0</v>
      </c>
      <c r="FG17" s="15">
        <f t="shared" si="42"/>
        <v>0</v>
      </c>
      <c r="FH17" s="16">
        <f t="shared" si="43"/>
        <v>0</v>
      </c>
      <c r="FJ17" s="15">
        <f t="shared" si="44"/>
        <v>0</v>
      </c>
      <c r="FK17" s="35" t="str" cm="1">
        <f t="array" ref="FK17">IFERROR(_xlfn.IFS($F17="Senior Staff",$FJ17*1250,$F17="Junior Staff",$FJ17*1000,$F17="Intern",0), "")</f>
        <v/>
      </c>
      <c r="FM17" s="36">
        <f t="shared" si="45"/>
        <v>0</v>
      </c>
      <c r="FN17" s="37">
        <f t="shared" si="46"/>
        <v>0</v>
      </c>
      <c r="FO17" s="38">
        <f t="shared" si="47"/>
        <v>0</v>
      </c>
      <c r="FP17" s="39">
        <f t="shared" si="48"/>
        <v>0</v>
      </c>
      <c r="FR17" s="44" t="str" cm="1">
        <f t="array" ref="FR17">IFERROR(_xlfn.IFS($F17="Senior Staff",3040,$F17="Junior Staff",1500,$F17="Intern",0),"")</f>
        <v/>
      </c>
      <c r="FS17" s="29">
        <f>SUM(ER17:$EV17)</f>
        <v>0</v>
      </c>
      <c r="FT17" s="34">
        <f t="shared" si="49"/>
        <v>0</v>
      </c>
      <c r="FV17" s="33"/>
      <c r="FW17" s="35">
        <f t="shared" si="50"/>
        <v>0</v>
      </c>
    </row>
    <row r="18" spans="2:179" ht="20.100000000000001" customHeight="1">
      <c r="B18" s="58"/>
      <c r="C18" s="6"/>
      <c r="D18" s="57"/>
      <c r="E18" s="6"/>
      <c r="F18" s="14"/>
      <c r="G18" s="14"/>
      <c r="H18" s="81"/>
      <c r="I18" s="5"/>
      <c r="J18" s="64"/>
      <c r="K18" s="5"/>
      <c r="L18" s="65"/>
      <c r="M18" s="5"/>
      <c r="N18" s="64"/>
      <c r="O18" s="5"/>
      <c r="P18" s="65"/>
      <c r="Q18" s="5"/>
      <c r="R18" s="64"/>
      <c r="S18" s="5"/>
      <c r="T18" s="65"/>
      <c r="U18" s="5"/>
      <c r="V18" s="64"/>
      <c r="W18" s="5"/>
      <c r="X18" s="65"/>
      <c r="Y18" s="5"/>
      <c r="Z18" s="64"/>
      <c r="AA18" s="5"/>
      <c r="AB18" s="65"/>
      <c r="AC18" s="5"/>
      <c r="AD18" s="64"/>
      <c r="AE18" s="5"/>
      <c r="AF18" s="65"/>
      <c r="AG18" s="5"/>
      <c r="AH18" s="64"/>
      <c r="AI18" s="5"/>
      <c r="AJ18" s="65"/>
      <c r="AK18" s="5"/>
      <c r="AL18" s="64"/>
      <c r="AM18" s="5"/>
      <c r="AN18" s="65"/>
      <c r="AO18" s="5"/>
      <c r="AP18" s="64"/>
      <c r="AQ18" s="5"/>
      <c r="AR18" s="65"/>
      <c r="AS18" s="5"/>
      <c r="AT18" s="64"/>
      <c r="AU18" s="5"/>
      <c r="AV18" s="65"/>
      <c r="AW18" s="5"/>
      <c r="AX18" s="64"/>
      <c r="AY18" s="5"/>
      <c r="AZ18" s="65"/>
      <c r="BA18" s="5"/>
      <c r="BB18" s="64"/>
      <c r="BC18" s="5"/>
      <c r="BD18" s="65"/>
      <c r="BE18" s="5"/>
      <c r="BF18" s="64"/>
      <c r="BG18" s="5"/>
      <c r="BH18" s="65"/>
      <c r="BI18" s="5"/>
      <c r="BJ18" s="64"/>
      <c r="BK18" s="5"/>
      <c r="BL18" s="65"/>
      <c r="BM18" s="5"/>
      <c r="BN18" s="64"/>
      <c r="BO18" s="5"/>
      <c r="BP18" s="65"/>
      <c r="BQ18" s="5"/>
      <c r="BR18" s="64"/>
      <c r="BS18" s="5"/>
      <c r="BT18" s="65"/>
      <c r="BU18" s="5"/>
      <c r="BV18" s="64"/>
      <c r="BW18" s="5"/>
      <c r="BX18" s="65"/>
      <c r="BY18" s="5"/>
      <c r="BZ18" s="64"/>
      <c r="CA18" s="5"/>
      <c r="CB18" s="65"/>
      <c r="CC18" s="5"/>
      <c r="CD18" s="64"/>
      <c r="CE18" s="5"/>
      <c r="CF18" s="65"/>
      <c r="CG18" s="5"/>
      <c r="CH18" s="64"/>
      <c r="CI18" s="5"/>
      <c r="CJ18" s="65"/>
      <c r="CK18" s="5"/>
      <c r="CL18" s="64"/>
      <c r="CM18" s="5"/>
      <c r="CN18" s="65"/>
      <c r="CO18" s="5"/>
      <c r="CP18" s="64"/>
      <c r="CQ18" s="5"/>
      <c r="CR18" s="65"/>
      <c r="CS18" s="5"/>
      <c r="CT18" s="64"/>
      <c r="CU18" s="5"/>
      <c r="CV18" s="71"/>
      <c r="CX18" s="12"/>
      <c r="CY18" s="8"/>
      <c r="CZ18" s="7"/>
      <c r="DA18" s="8"/>
      <c r="DB18" s="7"/>
      <c r="DC18" s="8"/>
      <c r="DD18" s="7"/>
      <c r="DE18" s="8"/>
      <c r="DF18" s="12"/>
      <c r="DG18" s="8"/>
      <c r="DH18" s="7"/>
      <c r="DI18" s="8"/>
      <c r="DJ18" s="7"/>
      <c r="DK18" s="8"/>
      <c r="DL18" s="7"/>
      <c r="DM18" s="8"/>
      <c r="DN18" s="7"/>
      <c r="DO18" s="8"/>
      <c r="DP18" s="5"/>
      <c r="DQ18" s="13"/>
      <c r="DS18" s="12"/>
      <c r="DT18" s="8"/>
      <c r="DU18" s="7"/>
      <c r="DV18" s="8"/>
      <c r="DW18" s="7"/>
      <c r="DX18" s="8"/>
      <c r="DY18" s="7"/>
      <c r="DZ18" s="8"/>
      <c r="EA18" s="7"/>
      <c r="EB18" s="8"/>
      <c r="EC18" s="7"/>
      <c r="ED18" s="8"/>
      <c r="EE18" s="7"/>
      <c r="EF18" s="8"/>
      <c r="EG18" s="7"/>
      <c r="EH18" s="13"/>
      <c r="EJ18" s="15">
        <f t="shared" si="55"/>
        <v>0</v>
      </c>
      <c r="EK18" s="17">
        <f t="shared" si="55"/>
        <v>0</v>
      </c>
      <c r="EL18" s="17">
        <f t="shared" si="55"/>
        <v>0</v>
      </c>
      <c r="EM18" s="17">
        <f t="shared" si="55"/>
        <v>0</v>
      </c>
      <c r="EN18" s="17">
        <f t="shared" si="55"/>
        <v>0</v>
      </c>
      <c r="EO18" s="17">
        <f t="shared" si="55"/>
        <v>0</v>
      </c>
      <c r="EP18" s="17">
        <f t="shared" si="55"/>
        <v>0</v>
      </c>
      <c r="EQ18" s="17">
        <f t="shared" si="55"/>
        <v>0</v>
      </c>
      <c r="ER18" s="17">
        <f t="shared" si="55"/>
        <v>0</v>
      </c>
      <c r="ES18" s="17">
        <f t="shared" si="55"/>
        <v>0</v>
      </c>
      <c r="ET18" s="17">
        <f t="shared" si="55"/>
        <v>0</v>
      </c>
      <c r="EU18" s="17">
        <f t="shared" si="55"/>
        <v>0</v>
      </c>
      <c r="EV18" s="17">
        <f t="shared" si="55"/>
        <v>0</v>
      </c>
      <c r="EW18" s="17">
        <f t="shared" si="55"/>
        <v>0</v>
      </c>
      <c r="EX18" s="16">
        <f t="shared" si="55"/>
        <v>0</v>
      </c>
      <c r="EZ18" s="15">
        <f t="shared" si="36"/>
        <v>0</v>
      </c>
      <c r="FA18" s="16">
        <f t="shared" si="37"/>
        <v>0</v>
      </c>
      <c r="FB18" s="15">
        <f t="shared" si="38"/>
        <v>0</v>
      </c>
      <c r="FC18" s="16">
        <f t="shared" si="53"/>
        <v>0</v>
      </c>
      <c r="FD18" s="15">
        <f t="shared" si="40"/>
        <v>0</v>
      </c>
      <c r="FE18" s="16">
        <f t="shared" si="54"/>
        <v>0</v>
      </c>
      <c r="FG18" s="15">
        <f t="shared" si="42"/>
        <v>0</v>
      </c>
      <c r="FH18" s="16">
        <f t="shared" si="43"/>
        <v>0</v>
      </c>
      <c r="FJ18" s="15">
        <f t="shared" si="44"/>
        <v>0</v>
      </c>
      <c r="FK18" s="35" t="str" cm="1">
        <f t="array" ref="FK18">IFERROR(_xlfn.IFS($F18="Senior Staff",$FJ18*1250,$F18="Junior Staff",$FJ18*1000,$F18="Intern",0), "")</f>
        <v/>
      </c>
      <c r="FM18" s="36">
        <f t="shared" si="45"/>
        <v>0</v>
      </c>
      <c r="FN18" s="37">
        <f t="shared" si="46"/>
        <v>0</v>
      </c>
      <c r="FO18" s="38">
        <f t="shared" si="47"/>
        <v>0</v>
      </c>
      <c r="FP18" s="39">
        <f t="shared" si="48"/>
        <v>0</v>
      </c>
      <c r="FR18" s="44" t="str" cm="1">
        <f t="array" ref="FR18">IFERROR(_xlfn.IFS($F18="Senior Staff",3040,$F18="Junior Staff",1500,$F18="Intern",0),"")</f>
        <v/>
      </c>
      <c r="FS18" s="29">
        <f>SUM(ER18:$EV18)</f>
        <v>0</v>
      </c>
      <c r="FT18" s="34">
        <f t="shared" si="49"/>
        <v>0</v>
      </c>
      <c r="FV18" s="33"/>
      <c r="FW18" s="35">
        <f t="shared" si="50"/>
        <v>0</v>
      </c>
    </row>
    <row r="19" spans="2:179" ht="20.100000000000001" customHeight="1">
      <c r="B19" s="58"/>
      <c r="C19" s="6"/>
      <c r="D19" s="57"/>
      <c r="E19" s="6"/>
      <c r="F19" s="14"/>
      <c r="G19" s="14"/>
      <c r="H19" s="81"/>
      <c r="I19" s="5"/>
      <c r="J19" s="64"/>
      <c r="K19" s="5"/>
      <c r="L19" s="65"/>
      <c r="M19" s="5"/>
      <c r="N19" s="64"/>
      <c r="O19" s="5"/>
      <c r="P19" s="65"/>
      <c r="Q19" s="5"/>
      <c r="R19" s="64"/>
      <c r="S19" s="5"/>
      <c r="T19" s="65"/>
      <c r="U19" s="5"/>
      <c r="V19" s="64"/>
      <c r="W19" s="5"/>
      <c r="X19" s="65"/>
      <c r="Y19" s="5"/>
      <c r="Z19" s="64"/>
      <c r="AA19" s="5"/>
      <c r="AB19" s="65"/>
      <c r="AC19" s="5"/>
      <c r="AD19" s="64"/>
      <c r="AE19" s="5"/>
      <c r="AF19" s="65"/>
      <c r="AG19" s="5"/>
      <c r="AH19" s="64"/>
      <c r="AI19" s="5"/>
      <c r="AJ19" s="65"/>
      <c r="AK19" s="5"/>
      <c r="AL19" s="64"/>
      <c r="AM19" s="5"/>
      <c r="AN19" s="65"/>
      <c r="AO19" s="5"/>
      <c r="AP19" s="64"/>
      <c r="AQ19" s="5"/>
      <c r="AR19" s="65"/>
      <c r="AS19" s="5"/>
      <c r="AT19" s="64"/>
      <c r="AU19" s="5"/>
      <c r="AV19" s="65"/>
      <c r="AW19" s="5"/>
      <c r="AX19" s="64"/>
      <c r="AY19" s="5"/>
      <c r="AZ19" s="65"/>
      <c r="BA19" s="5"/>
      <c r="BB19" s="64"/>
      <c r="BC19" s="5"/>
      <c r="BD19" s="65"/>
      <c r="BE19" s="5"/>
      <c r="BF19" s="64"/>
      <c r="BG19" s="5"/>
      <c r="BH19" s="65"/>
      <c r="BI19" s="5"/>
      <c r="BJ19" s="64"/>
      <c r="BK19" s="5"/>
      <c r="BL19" s="65"/>
      <c r="BM19" s="5"/>
      <c r="BN19" s="64"/>
      <c r="BO19" s="5"/>
      <c r="BP19" s="65"/>
      <c r="BQ19" s="5"/>
      <c r="BR19" s="64"/>
      <c r="BS19" s="5"/>
      <c r="BT19" s="65"/>
      <c r="BU19" s="5"/>
      <c r="BV19" s="64"/>
      <c r="BW19" s="5"/>
      <c r="BX19" s="65"/>
      <c r="BY19" s="5"/>
      <c r="BZ19" s="64"/>
      <c r="CA19" s="5"/>
      <c r="CB19" s="65"/>
      <c r="CC19" s="5"/>
      <c r="CD19" s="64"/>
      <c r="CE19" s="5"/>
      <c r="CF19" s="65"/>
      <c r="CG19" s="5"/>
      <c r="CH19" s="64"/>
      <c r="CI19" s="5"/>
      <c r="CJ19" s="65"/>
      <c r="CK19" s="5"/>
      <c r="CL19" s="64"/>
      <c r="CM19" s="5"/>
      <c r="CN19" s="65"/>
      <c r="CO19" s="5"/>
      <c r="CP19" s="64"/>
      <c r="CQ19" s="5"/>
      <c r="CR19" s="65"/>
      <c r="CS19" s="5"/>
      <c r="CT19" s="64"/>
      <c r="CU19" s="5"/>
      <c r="CV19" s="71"/>
      <c r="CX19" s="12"/>
      <c r="CY19" s="8"/>
      <c r="CZ19" s="7"/>
      <c r="DA19" s="8"/>
      <c r="DB19" s="7"/>
      <c r="DC19" s="8"/>
      <c r="DD19" s="7"/>
      <c r="DE19" s="8"/>
      <c r="DF19" s="12"/>
      <c r="DG19" s="8"/>
      <c r="DH19" s="7"/>
      <c r="DI19" s="8"/>
      <c r="DJ19" s="7"/>
      <c r="DK19" s="8"/>
      <c r="DL19" s="7"/>
      <c r="DM19" s="8"/>
      <c r="DN19" s="7"/>
      <c r="DO19" s="8"/>
      <c r="DP19" s="5"/>
      <c r="DQ19" s="13"/>
      <c r="DS19" s="12"/>
      <c r="DT19" s="8"/>
      <c r="DU19" s="7"/>
      <c r="DV19" s="8"/>
      <c r="DW19" s="7"/>
      <c r="DX19" s="8"/>
      <c r="DY19" s="7"/>
      <c r="DZ19" s="8"/>
      <c r="EA19" s="7"/>
      <c r="EB19" s="8"/>
      <c r="EC19" s="7"/>
      <c r="ED19" s="8"/>
      <c r="EE19" s="7"/>
      <c r="EF19" s="8"/>
      <c r="EG19" s="7"/>
      <c r="EH19" s="13"/>
      <c r="EJ19" s="15">
        <f t="shared" si="55"/>
        <v>0</v>
      </c>
      <c r="EK19" s="17">
        <f t="shared" si="55"/>
        <v>0</v>
      </c>
      <c r="EL19" s="17">
        <f t="shared" si="55"/>
        <v>0</v>
      </c>
      <c r="EM19" s="17">
        <f t="shared" si="55"/>
        <v>0</v>
      </c>
      <c r="EN19" s="17">
        <f t="shared" si="55"/>
        <v>0</v>
      </c>
      <c r="EO19" s="17">
        <f t="shared" si="55"/>
        <v>0</v>
      </c>
      <c r="EP19" s="17">
        <f t="shared" si="55"/>
        <v>0</v>
      </c>
      <c r="EQ19" s="17">
        <f t="shared" si="55"/>
        <v>0</v>
      </c>
      <c r="ER19" s="17">
        <f t="shared" si="55"/>
        <v>0</v>
      </c>
      <c r="ES19" s="17">
        <f t="shared" si="55"/>
        <v>0</v>
      </c>
      <c r="ET19" s="17">
        <f t="shared" si="55"/>
        <v>0</v>
      </c>
      <c r="EU19" s="17">
        <f t="shared" si="55"/>
        <v>0</v>
      </c>
      <c r="EV19" s="17">
        <f t="shared" si="55"/>
        <v>0</v>
      </c>
      <c r="EW19" s="17">
        <f t="shared" si="55"/>
        <v>0</v>
      </c>
      <c r="EX19" s="16">
        <f t="shared" si="55"/>
        <v>0</v>
      </c>
      <c r="EZ19" s="15">
        <f t="shared" si="36"/>
        <v>0</v>
      </c>
      <c r="FA19" s="16">
        <f t="shared" si="37"/>
        <v>0</v>
      </c>
      <c r="FB19" s="15">
        <f t="shared" si="38"/>
        <v>0</v>
      </c>
      <c r="FC19" s="16">
        <f t="shared" si="53"/>
        <v>0</v>
      </c>
      <c r="FD19" s="15">
        <f t="shared" si="40"/>
        <v>0</v>
      </c>
      <c r="FE19" s="16">
        <f t="shared" si="54"/>
        <v>0</v>
      </c>
      <c r="FG19" s="15">
        <f t="shared" si="42"/>
        <v>0</v>
      </c>
      <c r="FH19" s="16">
        <f t="shared" si="43"/>
        <v>0</v>
      </c>
      <c r="FJ19" s="15">
        <f t="shared" si="44"/>
        <v>0</v>
      </c>
      <c r="FK19" s="35" t="str" cm="1">
        <f t="array" ref="FK19">IFERROR(_xlfn.IFS($F19="Senior Staff",$FJ19*1250,$F19="Junior Staff",$FJ19*1000,$F19="Intern",0), "")</f>
        <v/>
      </c>
      <c r="FM19" s="36">
        <f t="shared" si="45"/>
        <v>0</v>
      </c>
      <c r="FN19" s="37">
        <f t="shared" si="46"/>
        <v>0</v>
      </c>
      <c r="FO19" s="38">
        <f t="shared" si="47"/>
        <v>0</v>
      </c>
      <c r="FP19" s="39">
        <f t="shared" si="48"/>
        <v>0</v>
      </c>
      <c r="FR19" s="44" t="str" cm="1">
        <f t="array" ref="FR19">IFERROR(_xlfn.IFS($F19="Senior Staff",3040,$F19="Junior Staff",1500,$F19="Intern",0),"")</f>
        <v/>
      </c>
      <c r="FS19" s="29">
        <f>SUM(ER19:$EV19)</f>
        <v>0</v>
      </c>
      <c r="FT19" s="34">
        <f t="shared" si="49"/>
        <v>0</v>
      </c>
      <c r="FV19" s="33"/>
      <c r="FW19" s="35">
        <f t="shared" si="50"/>
        <v>0</v>
      </c>
    </row>
    <row r="20" spans="2:179" ht="20.100000000000001" customHeight="1">
      <c r="B20" s="58"/>
      <c r="C20" s="6"/>
      <c r="D20" s="57"/>
      <c r="E20" s="6"/>
      <c r="F20" s="14"/>
      <c r="G20" s="14"/>
      <c r="H20" s="81"/>
      <c r="I20" s="5"/>
      <c r="J20" s="64"/>
      <c r="K20" s="5"/>
      <c r="L20" s="65"/>
      <c r="M20" s="5"/>
      <c r="N20" s="64"/>
      <c r="O20" s="5"/>
      <c r="P20" s="65"/>
      <c r="Q20" s="5"/>
      <c r="R20" s="64"/>
      <c r="S20" s="5"/>
      <c r="T20" s="65"/>
      <c r="U20" s="5"/>
      <c r="V20" s="64"/>
      <c r="W20" s="5"/>
      <c r="X20" s="65"/>
      <c r="Y20" s="5"/>
      <c r="Z20" s="64"/>
      <c r="AA20" s="5"/>
      <c r="AB20" s="65"/>
      <c r="AC20" s="5"/>
      <c r="AD20" s="64"/>
      <c r="AE20" s="5"/>
      <c r="AF20" s="65"/>
      <c r="AG20" s="5"/>
      <c r="AH20" s="64"/>
      <c r="AI20" s="5"/>
      <c r="AJ20" s="65"/>
      <c r="AK20" s="5"/>
      <c r="AL20" s="64"/>
      <c r="AM20" s="5"/>
      <c r="AN20" s="65"/>
      <c r="AO20" s="5"/>
      <c r="AP20" s="64"/>
      <c r="AQ20" s="5"/>
      <c r="AR20" s="65"/>
      <c r="AS20" s="5"/>
      <c r="AT20" s="64"/>
      <c r="AU20" s="5"/>
      <c r="AV20" s="65"/>
      <c r="AW20" s="5"/>
      <c r="AX20" s="64"/>
      <c r="AY20" s="5"/>
      <c r="AZ20" s="65"/>
      <c r="BA20" s="5"/>
      <c r="BB20" s="64"/>
      <c r="BC20" s="5"/>
      <c r="BD20" s="65"/>
      <c r="BE20" s="5"/>
      <c r="BF20" s="64"/>
      <c r="BG20" s="5"/>
      <c r="BH20" s="65"/>
      <c r="BI20" s="5"/>
      <c r="BJ20" s="64"/>
      <c r="BK20" s="5"/>
      <c r="BL20" s="65"/>
      <c r="BM20" s="5"/>
      <c r="BN20" s="64"/>
      <c r="BO20" s="5"/>
      <c r="BP20" s="65"/>
      <c r="BQ20" s="5"/>
      <c r="BR20" s="64"/>
      <c r="BS20" s="5"/>
      <c r="BT20" s="65"/>
      <c r="BU20" s="5"/>
      <c r="BV20" s="64"/>
      <c r="BW20" s="5"/>
      <c r="BX20" s="65"/>
      <c r="BY20" s="5"/>
      <c r="BZ20" s="64"/>
      <c r="CA20" s="5"/>
      <c r="CB20" s="65"/>
      <c r="CC20" s="5"/>
      <c r="CD20" s="64"/>
      <c r="CE20" s="5"/>
      <c r="CF20" s="65"/>
      <c r="CG20" s="5"/>
      <c r="CH20" s="64"/>
      <c r="CI20" s="5"/>
      <c r="CJ20" s="65"/>
      <c r="CK20" s="5"/>
      <c r="CL20" s="64"/>
      <c r="CM20" s="5"/>
      <c r="CN20" s="65"/>
      <c r="CO20" s="5"/>
      <c r="CP20" s="64"/>
      <c r="CQ20" s="5"/>
      <c r="CR20" s="65"/>
      <c r="CS20" s="5"/>
      <c r="CT20" s="64"/>
      <c r="CU20" s="5"/>
      <c r="CV20" s="71"/>
      <c r="CX20" s="12"/>
      <c r="CY20" s="8"/>
      <c r="CZ20" s="7"/>
      <c r="DA20" s="8"/>
      <c r="DB20" s="7"/>
      <c r="DC20" s="8"/>
      <c r="DD20" s="7"/>
      <c r="DE20" s="8"/>
      <c r="DF20" s="12"/>
      <c r="DG20" s="8"/>
      <c r="DH20" s="7"/>
      <c r="DI20" s="8"/>
      <c r="DJ20" s="7"/>
      <c r="DK20" s="8"/>
      <c r="DL20" s="7"/>
      <c r="DM20" s="8"/>
      <c r="DN20" s="7"/>
      <c r="DO20" s="8"/>
      <c r="DP20" s="5"/>
      <c r="DQ20" s="13"/>
      <c r="DS20" s="12"/>
      <c r="DT20" s="8"/>
      <c r="DU20" s="7"/>
      <c r="DV20" s="8"/>
      <c r="DW20" s="7"/>
      <c r="DX20" s="8"/>
      <c r="DY20" s="7"/>
      <c r="DZ20" s="8"/>
      <c r="EA20" s="7"/>
      <c r="EB20" s="8"/>
      <c r="EC20" s="7"/>
      <c r="ED20" s="8"/>
      <c r="EE20" s="7"/>
      <c r="EF20" s="8"/>
      <c r="EG20" s="7"/>
      <c r="EH20" s="13"/>
      <c r="EJ20" s="15">
        <f t="shared" si="55"/>
        <v>0</v>
      </c>
      <c r="EK20" s="17">
        <f t="shared" si="55"/>
        <v>0</v>
      </c>
      <c r="EL20" s="17">
        <f t="shared" si="55"/>
        <v>0</v>
      </c>
      <c r="EM20" s="17">
        <f t="shared" si="55"/>
        <v>0</v>
      </c>
      <c r="EN20" s="17">
        <f t="shared" si="55"/>
        <v>0</v>
      </c>
      <c r="EO20" s="17">
        <f t="shared" si="55"/>
        <v>0</v>
      </c>
      <c r="EP20" s="17">
        <f t="shared" si="55"/>
        <v>0</v>
      </c>
      <c r="EQ20" s="17">
        <f t="shared" si="55"/>
        <v>0</v>
      </c>
      <c r="ER20" s="17">
        <f t="shared" si="55"/>
        <v>0</v>
      </c>
      <c r="ES20" s="17">
        <f t="shared" si="55"/>
        <v>0</v>
      </c>
      <c r="ET20" s="17">
        <f t="shared" si="55"/>
        <v>0</v>
      </c>
      <c r="EU20" s="17">
        <f t="shared" si="55"/>
        <v>0</v>
      </c>
      <c r="EV20" s="17">
        <f t="shared" si="55"/>
        <v>0</v>
      </c>
      <c r="EW20" s="17">
        <f t="shared" si="55"/>
        <v>0</v>
      </c>
      <c r="EX20" s="16">
        <f t="shared" si="55"/>
        <v>0</v>
      </c>
      <c r="EZ20" s="15">
        <f t="shared" si="36"/>
        <v>0</v>
      </c>
      <c r="FA20" s="16">
        <f t="shared" si="37"/>
        <v>0</v>
      </c>
      <c r="FB20" s="15">
        <f t="shared" si="38"/>
        <v>0</v>
      </c>
      <c r="FC20" s="16">
        <f t="shared" si="53"/>
        <v>0</v>
      </c>
      <c r="FD20" s="15">
        <f t="shared" si="40"/>
        <v>0</v>
      </c>
      <c r="FE20" s="16">
        <f t="shared" si="54"/>
        <v>0</v>
      </c>
      <c r="FG20" s="15">
        <f t="shared" si="42"/>
        <v>0</v>
      </c>
      <c r="FH20" s="16">
        <f t="shared" si="43"/>
        <v>0</v>
      </c>
      <c r="FJ20" s="15">
        <f t="shared" si="44"/>
        <v>0</v>
      </c>
      <c r="FK20" s="35" t="str" cm="1">
        <f t="array" ref="FK20">IFERROR(_xlfn.IFS($F20="Senior Staff",$FJ20*1250,$F20="Junior Staff",$FJ20*1000,$F20="Intern",0), "")</f>
        <v/>
      </c>
      <c r="FM20" s="36">
        <f t="shared" si="45"/>
        <v>0</v>
      </c>
      <c r="FN20" s="37">
        <f t="shared" si="46"/>
        <v>0</v>
      </c>
      <c r="FO20" s="38">
        <f t="shared" si="47"/>
        <v>0</v>
      </c>
      <c r="FP20" s="39">
        <f t="shared" si="48"/>
        <v>0</v>
      </c>
      <c r="FR20" s="44" t="str" cm="1">
        <f t="array" ref="FR20">IFERROR(_xlfn.IFS($F20="Senior Staff",3040,$F20="Junior Staff",1500,$F20="Intern",0),"")</f>
        <v/>
      </c>
      <c r="FS20" s="29">
        <f>SUM(ER20:$EV20)</f>
        <v>0</v>
      </c>
      <c r="FT20" s="34">
        <f t="shared" si="49"/>
        <v>0</v>
      </c>
      <c r="FV20" s="33"/>
      <c r="FW20" s="35">
        <f t="shared" si="50"/>
        <v>0</v>
      </c>
    </row>
    <row r="21" spans="2:179" ht="20.100000000000001" customHeight="1">
      <c r="B21" s="58"/>
      <c r="C21" s="6"/>
      <c r="D21" s="57"/>
      <c r="E21" s="6"/>
      <c r="F21" s="14"/>
      <c r="G21" s="14"/>
      <c r="H21" s="81"/>
      <c r="I21" s="5"/>
      <c r="J21" s="64"/>
      <c r="K21" s="5"/>
      <c r="L21" s="65"/>
      <c r="M21" s="5"/>
      <c r="N21" s="64"/>
      <c r="O21" s="5"/>
      <c r="P21" s="65"/>
      <c r="Q21" s="5"/>
      <c r="R21" s="64"/>
      <c r="S21" s="5"/>
      <c r="T21" s="65"/>
      <c r="U21" s="5"/>
      <c r="V21" s="64"/>
      <c r="W21" s="5"/>
      <c r="X21" s="65"/>
      <c r="Y21" s="5"/>
      <c r="Z21" s="64"/>
      <c r="AA21" s="5"/>
      <c r="AB21" s="65"/>
      <c r="AC21" s="5"/>
      <c r="AD21" s="64"/>
      <c r="AE21" s="5"/>
      <c r="AF21" s="65"/>
      <c r="AG21" s="5"/>
      <c r="AH21" s="64"/>
      <c r="AI21" s="5"/>
      <c r="AJ21" s="65"/>
      <c r="AK21" s="5"/>
      <c r="AL21" s="64"/>
      <c r="AM21" s="5"/>
      <c r="AN21" s="65"/>
      <c r="AO21" s="5"/>
      <c r="AP21" s="64"/>
      <c r="AQ21" s="5"/>
      <c r="AR21" s="65"/>
      <c r="AS21" s="5"/>
      <c r="AT21" s="64"/>
      <c r="AU21" s="5"/>
      <c r="AV21" s="65"/>
      <c r="AW21" s="5"/>
      <c r="AX21" s="64"/>
      <c r="AY21" s="5"/>
      <c r="AZ21" s="65"/>
      <c r="BA21" s="5"/>
      <c r="BB21" s="64"/>
      <c r="BC21" s="5"/>
      <c r="BD21" s="65"/>
      <c r="BE21" s="5"/>
      <c r="BF21" s="64"/>
      <c r="BG21" s="5"/>
      <c r="BH21" s="65"/>
      <c r="BI21" s="5"/>
      <c r="BJ21" s="64"/>
      <c r="BK21" s="5"/>
      <c r="BL21" s="65"/>
      <c r="BM21" s="5"/>
      <c r="BN21" s="64"/>
      <c r="BO21" s="5"/>
      <c r="BP21" s="65"/>
      <c r="BQ21" s="5"/>
      <c r="BR21" s="64"/>
      <c r="BS21" s="5"/>
      <c r="BT21" s="65"/>
      <c r="BU21" s="5"/>
      <c r="BV21" s="64"/>
      <c r="BW21" s="5"/>
      <c r="BX21" s="65"/>
      <c r="BY21" s="5"/>
      <c r="BZ21" s="64"/>
      <c r="CA21" s="5"/>
      <c r="CB21" s="65"/>
      <c r="CC21" s="5"/>
      <c r="CD21" s="64"/>
      <c r="CE21" s="5"/>
      <c r="CF21" s="65"/>
      <c r="CG21" s="5"/>
      <c r="CH21" s="64"/>
      <c r="CI21" s="5"/>
      <c r="CJ21" s="65"/>
      <c r="CK21" s="5"/>
      <c r="CL21" s="64"/>
      <c r="CM21" s="5"/>
      <c r="CN21" s="65"/>
      <c r="CO21" s="5"/>
      <c r="CP21" s="64"/>
      <c r="CQ21" s="5"/>
      <c r="CR21" s="65"/>
      <c r="CS21" s="5"/>
      <c r="CT21" s="64"/>
      <c r="CU21" s="5"/>
      <c r="CV21" s="71"/>
      <c r="CX21" s="12"/>
      <c r="CY21" s="8"/>
      <c r="CZ21" s="7"/>
      <c r="DA21" s="8"/>
      <c r="DB21" s="7"/>
      <c r="DC21" s="8"/>
      <c r="DD21" s="7"/>
      <c r="DE21" s="8"/>
      <c r="DF21" s="12"/>
      <c r="DG21" s="8"/>
      <c r="DH21" s="7"/>
      <c r="DI21" s="8"/>
      <c r="DJ21" s="7"/>
      <c r="DK21" s="8"/>
      <c r="DL21" s="7"/>
      <c r="DM21" s="8"/>
      <c r="DN21" s="7"/>
      <c r="DO21" s="8"/>
      <c r="DP21" s="5"/>
      <c r="DQ21" s="13"/>
      <c r="DS21" s="12"/>
      <c r="DT21" s="8"/>
      <c r="DU21" s="7"/>
      <c r="DV21" s="8"/>
      <c r="DW21" s="7"/>
      <c r="DX21" s="8"/>
      <c r="DY21" s="7"/>
      <c r="DZ21" s="8"/>
      <c r="EA21" s="7"/>
      <c r="EB21" s="8"/>
      <c r="EC21" s="7"/>
      <c r="ED21" s="8"/>
      <c r="EE21" s="7"/>
      <c r="EF21" s="8"/>
      <c r="EG21" s="7"/>
      <c r="EH21" s="13"/>
      <c r="EJ21" s="15">
        <f t="shared" si="55"/>
        <v>0</v>
      </c>
      <c r="EK21" s="17">
        <f t="shared" si="55"/>
        <v>0</v>
      </c>
      <c r="EL21" s="17">
        <f t="shared" si="55"/>
        <v>0</v>
      </c>
      <c r="EM21" s="17">
        <f t="shared" si="55"/>
        <v>0</v>
      </c>
      <c r="EN21" s="17">
        <f t="shared" si="55"/>
        <v>0</v>
      </c>
      <c r="EO21" s="17">
        <f t="shared" si="55"/>
        <v>0</v>
      </c>
      <c r="EP21" s="17">
        <f t="shared" si="55"/>
        <v>0</v>
      </c>
      <c r="EQ21" s="17">
        <f t="shared" si="55"/>
        <v>0</v>
      </c>
      <c r="ER21" s="17">
        <f t="shared" si="55"/>
        <v>0</v>
      </c>
      <c r="ES21" s="17">
        <f t="shared" si="55"/>
        <v>0</v>
      </c>
      <c r="ET21" s="17">
        <f t="shared" si="55"/>
        <v>0</v>
      </c>
      <c r="EU21" s="17">
        <f t="shared" si="55"/>
        <v>0</v>
      </c>
      <c r="EV21" s="17">
        <f t="shared" si="55"/>
        <v>0</v>
      </c>
      <c r="EW21" s="17">
        <f t="shared" si="55"/>
        <v>0</v>
      </c>
      <c r="EX21" s="16">
        <f t="shared" si="55"/>
        <v>0</v>
      </c>
      <c r="EZ21" s="15">
        <f t="shared" si="36"/>
        <v>0</v>
      </c>
      <c r="FA21" s="16">
        <f t="shared" si="37"/>
        <v>0</v>
      </c>
      <c r="FB21" s="15">
        <f t="shared" si="38"/>
        <v>0</v>
      </c>
      <c r="FC21" s="16">
        <f t="shared" si="53"/>
        <v>0</v>
      </c>
      <c r="FD21" s="15">
        <f t="shared" si="40"/>
        <v>0</v>
      </c>
      <c r="FE21" s="16">
        <f t="shared" si="54"/>
        <v>0</v>
      </c>
      <c r="FG21" s="15">
        <f t="shared" si="42"/>
        <v>0</v>
      </c>
      <c r="FH21" s="16">
        <f t="shared" si="43"/>
        <v>0</v>
      </c>
      <c r="FJ21" s="15">
        <f t="shared" si="44"/>
        <v>0</v>
      </c>
      <c r="FK21" s="35" t="str" cm="1">
        <f t="array" ref="FK21">IFERROR(_xlfn.IFS($F21="Senior Staff",$FJ21*1250,$F21="Junior Staff",$FJ21*1000,$F21="Intern",0), "")</f>
        <v/>
      </c>
      <c r="FM21" s="36">
        <f t="shared" si="45"/>
        <v>0</v>
      </c>
      <c r="FN21" s="37">
        <f t="shared" si="46"/>
        <v>0</v>
      </c>
      <c r="FO21" s="38">
        <f t="shared" si="47"/>
        <v>0</v>
      </c>
      <c r="FP21" s="39">
        <f t="shared" si="48"/>
        <v>0</v>
      </c>
      <c r="FR21" s="44" t="str" cm="1">
        <f t="array" ref="FR21">IFERROR(_xlfn.IFS($F21="Senior Staff",3040,$F21="Junior Staff",1500,$F21="Intern",0),"")</f>
        <v/>
      </c>
      <c r="FS21" s="29">
        <f>SUM(ER21:$EV21)</f>
        <v>0</v>
      </c>
      <c r="FT21" s="34">
        <f t="shared" si="49"/>
        <v>0</v>
      </c>
      <c r="FV21" s="33"/>
      <c r="FW21" s="35">
        <f t="shared" si="50"/>
        <v>0</v>
      </c>
    </row>
    <row r="22" spans="2:179" ht="20.100000000000001" customHeight="1">
      <c r="B22" s="58"/>
      <c r="C22" s="6"/>
      <c r="D22" s="57"/>
      <c r="E22" s="6"/>
      <c r="F22" s="14"/>
      <c r="G22" s="14"/>
      <c r="H22" s="81"/>
      <c r="I22" s="5"/>
      <c r="J22" s="64"/>
      <c r="K22" s="5"/>
      <c r="L22" s="65"/>
      <c r="M22" s="5"/>
      <c r="N22" s="64"/>
      <c r="O22" s="5"/>
      <c r="P22" s="65"/>
      <c r="Q22" s="5"/>
      <c r="R22" s="64"/>
      <c r="S22" s="5"/>
      <c r="T22" s="65"/>
      <c r="U22" s="5"/>
      <c r="V22" s="64"/>
      <c r="W22" s="5"/>
      <c r="X22" s="65"/>
      <c r="Y22" s="5"/>
      <c r="Z22" s="64"/>
      <c r="AA22" s="5"/>
      <c r="AB22" s="65"/>
      <c r="AC22" s="5"/>
      <c r="AD22" s="64"/>
      <c r="AE22" s="5"/>
      <c r="AF22" s="65"/>
      <c r="AG22" s="5"/>
      <c r="AH22" s="64"/>
      <c r="AI22" s="5"/>
      <c r="AJ22" s="65"/>
      <c r="AK22" s="5"/>
      <c r="AL22" s="64"/>
      <c r="AM22" s="5"/>
      <c r="AN22" s="65"/>
      <c r="AO22" s="5"/>
      <c r="AP22" s="64"/>
      <c r="AQ22" s="5"/>
      <c r="AR22" s="65"/>
      <c r="AS22" s="5"/>
      <c r="AT22" s="64"/>
      <c r="AU22" s="5"/>
      <c r="AV22" s="65"/>
      <c r="AW22" s="5"/>
      <c r="AX22" s="64"/>
      <c r="AY22" s="5"/>
      <c r="AZ22" s="65"/>
      <c r="BA22" s="5"/>
      <c r="BB22" s="64"/>
      <c r="BC22" s="5"/>
      <c r="BD22" s="65"/>
      <c r="BE22" s="5"/>
      <c r="BF22" s="64"/>
      <c r="BG22" s="5"/>
      <c r="BH22" s="65"/>
      <c r="BI22" s="5"/>
      <c r="BJ22" s="64"/>
      <c r="BK22" s="5"/>
      <c r="BL22" s="65"/>
      <c r="BM22" s="5"/>
      <c r="BN22" s="64"/>
      <c r="BO22" s="5"/>
      <c r="BP22" s="65"/>
      <c r="BQ22" s="5"/>
      <c r="BR22" s="64"/>
      <c r="BS22" s="5"/>
      <c r="BT22" s="65"/>
      <c r="BU22" s="5"/>
      <c r="BV22" s="64"/>
      <c r="BW22" s="5"/>
      <c r="BX22" s="65"/>
      <c r="BY22" s="5"/>
      <c r="BZ22" s="64"/>
      <c r="CA22" s="5"/>
      <c r="CB22" s="65"/>
      <c r="CC22" s="5"/>
      <c r="CD22" s="64"/>
      <c r="CE22" s="5"/>
      <c r="CF22" s="65"/>
      <c r="CG22" s="5"/>
      <c r="CH22" s="64"/>
      <c r="CI22" s="5"/>
      <c r="CJ22" s="65"/>
      <c r="CK22" s="5"/>
      <c r="CL22" s="64"/>
      <c r="CM22" s="5"/>
      <c r="CN22" s="65"/>
      <c r="CO22" s="5"/>
      <c r="CP22" s="64"/>
      <c r="CQ22" s="5"/>
      <c r="CR22" s="65"/>
      <c r="CS22" s="5"/>
      <c r="CT22" s="64"/>
      <c r="CU22" s="5"/>
      <c r="CV22" s="71"/>
      <c r="CX22" s="12"/>
      <c r="CY22" s="8"/>
      <c r="CZ22" s="7"/>
      <c r="DA22" s="8"/>
      <c r="DB22" s="7"/>
      <c r="DC22" s="8"/>
      <c r="DD22" s="7"/>
      <c r="DE22" s="8"/>
      <c r="DF22" s="12"/>
      <c r="DG22" s="8"/>
      <c r="DH22" s="7"/>
      <c r="DI22" s="8"/>
      <c r="DJ22" s="7"/>
      <c r="DK22" s="8"/>
      <c r="DL22" s="7"/>
      <c r="DM22" s="8"/>
      <c r="DN22" s="7"/>
      <c r="DO22" s="8"/>
      <c r="DP22" s="5"/>
      <c r="DQ22" s="13"/>
      <c r="DS22" s="12"/>
      <c r="DT22" s="8"/>
      <c r="DU22" s="7"/>
      <c r="DV22" s="8"/>
      <c r="DW22" s="7"/>
      <c r="DX22" s="8"/>
      <c r="DY22" s="7"/>
      <c r="DZ22" s="8"/>
      <c r="EA22" s="7"/>
      <c r="EB22" s="8"/>
      <c r="EC22" s="7"/>
      <c r="ED22" s="8"/>
      <c r="EE22" s="7"/>
      <c r="EF22" s="8"/>
      <c r="EG22" s="7"/>
      <c r="EH22" s="13"/>
      <c r="EJ22" s="15">
        <f t="shared" si="55"/>
        <v>0</v>
      </c>
      <c r="EK22" s="17">
        <f t="shared" si="55"/>
        <v>0</v>
      </c>
      <c r="EL22" s="17">
        <f t="shared" si="55"/>
        <v>0</v>
      </c>
      <c r="EM22" s="17">
        <f t="shared" si="55"/>
        <v>0</v>
      </c>
      <c r="EN22" s="17">
        <f t="shared" si="55"/>
        <v>0</v>
      </c>
      <c r="EO22" s="17">
        <f t="shared" si="55"/>
        <v>0</v>
      </c>
      <c r="EP22" s="17">
        <f t="shared" si="55"/>
        <v>0</v>
      </c>
      <c r="EQ22" s="17">
        <f t="shared" si="55"/>
        <v>0</v>
      </c>
      <c r="ER22" s="17">
        <f t="shared" si="55"/>
        <v>0</v>
      </c>
      <c r="ES22" s="17">
        <f t="shared" si="55"/>
        <v>0</v>
      </c>
      <c r="ET22" s="17">
        <f t="shared" si="55"/>
        <v>0</v>
      </c>
      <c r="EU22" s="17">
        <f t="shared" si="55"/>
        <v>0</v>
      </c>
      <c r="EV22" s="17">
        <f t="shared" si="55"/>
        <v>0</v>
      </c>
      <c r="EW22" s="17">
        <f t="shared" si="55"/>
        <v>0</v>
      </c>
      <c r="EX22" s="16">
        <f t="shared" si="55"/>
        <v>0</v>
      </c>
      <c r="EZ22" s="15">
        <f t="shared" si="36"/>
        <v>0</v>
      </c>
      <c r="FA22" s="16">
        <f t="shared" si="37"/>
        <v>0</v>
      </c>
      <c r="FB22" s="15">
        <f t="shared" si="38"/>
        <v>0</v>
      </c>
      <c r="FC22" s="16">
        <f t="shared" si="53"/>
        <v>0</v>
      </c>
      <c r="FD22" s="15">
        <f t="shared" si="40"/>
        <v>0</v>
      </c>
      <c r="FE22" s="16">
        <f t="shared" si="54"/>
        <v>0</v>
      </c>
      <c r="FG22" s="15">
        <f t="shared" si="42"/>
        <v>0</v>
      </c>
      <c r="FH22" s="16">
        <f t="shared" si="43"/>
        <v>0</v>
      </c>
      <c r="FJ22" s="15">
        <f t="shared" si="44"/>
        <v>0</v>
      </c>
      <c r="FK22" s="35" t="str" cm="1">
        <f t="array" ref="FK22">IFERROR(_xlfn.IFS($F22="Senior Staff",$FJ22*1250,$F22="Junior Staff",$FJ22*1000,$F22="Intern",0), "")</f>
        <v/>
      </c>
      <c r="FM22" s="36">
        <f t="shared" si="45"/>
        <v>0</v>
      </c>
      <c r="FN22" s="37">
        <f t="shared" si="46"/>
        <v>0</v>
      </c>
      <c r="FO22" s="38">
        <f t="shared" si="47"/>
        <v>0</v>
      </c>
      <c r="FP22" s="39">
        <f t="shared" si="48"/>
        <v>0</v>
      </c>
      <c r="FR22" s="44" t="str" cm="1">
        <f t="array" ref="FR22">IFERROR(_xlfn.IFS($F22="Senior Staff",3040,$F22="Junior Staff",1500,$F22="Intern",0),"")</f>
        <v/>
      </c>
      <c r="FS22" s="29">
        <f>SUM(ER22:$EV22)</f>
        <v>0</v>
      </c>
      <c r="FT22" s="34">
        <f t="shared" si="49"/>
        <v>0</v>
      </c>
      <c r="FV22" s="33"/>
      <c r="FW22" s="35">
        <f t="shared" si="50"/>
        <v>0</v>
      </c>
    </row>
    <row r="23" spans="2:179" ht="20.100000000000001" customHeight="1">
      <c r="B23" s="58"/>
      <c r="C23" s="6"/>
      <c r="D23" s="57"/>
      <c r="E23" s="6"/>
      <c r="F23" s="14"/>
      <c r="G23" s="14"/>
      <c r="H23" s="81"/>
      <c r="I23" s="5"/>
      <c r="J23" s="64"/>
      <c r="K23" s="5"/>
      <c r="L23" s="65"/>
      <c r="M23" s="5"/>
      <c r="N23" s="64"/>
      <c r="O23" s="5"/>
      <c r="P23" s="65"/>
      <c r="Q23" s="5"/>
      <c r="R23" s="64"/>
      <c r="S23" s="5"/>
      <c r="T23" s="65"/>
      <c r="U23" s="5"/>
      <c r="V23" s="64"/>
      <c r="W23" s="5"/>
      <c r="X23" s="65"/>
      <c r="Y23" s="5"/>
      <c r="Z23" s="64"/>
      <c r="AA23" s="5"/>
      <c r="AB23" s="65"/>
      <c r="AC23" s="5"/>
      <c r="AD23" s="64"/>
      <c r="AE23" s="5"/>
      <c r="AF23" s="65"/>
      <c r="AG23" s="5"/>
      <c r="AH23" s="64"/>
      <c r="AI23" s="5"/>
      <c r="AJ23" s="65"/>
      <c r="AK23" s="5"/>
      <c r="AL23" s="64"/>
      <c r="AM23" s="5"/>
      <c r="AN23" s="65"/>
      <c r="AO23" s="5"/>
      <c r="AP23" s="64"/>
      <c r="AQ23" s="5"/>
      <c r="AR23" s="65"/>
      <c r="AS23" s="5"/>
      <c r="AT23" s="64"/>
      <c r="AU23" s="5"/>
      <c r="AV23" s="65"/>
      <c r="AW23" s="5"/>
      <c r="AX23" s="64"/>
      <c r="AY23" s="5"/>
      <c r="AZ23" s="65"/>
      <c r="BA23" s="5"/>
      <c r="BB23" s="64"/>
      <c r="BC23" s="5"/>
      <c r="BD23" s="65"/>
      <c r="BE23" s="5"/>
      <c r="BF23" s="64"/>
      <c r="BG23" s="5"/>
      <c r="BH23" s="65"/>
      <c r="BI23" s="5"/>
      <c r="BJ23" s="64"/>
      <c r="BK23" s="5"/>
      <c r="BL23" s="65"/>
      <c r="BM23" s="5"/>
      <c r="BN23" s="64"/>
      <c r="BO23" s="5"/>
      <c r="BP23" s="65"/>
      <c r="BQ23" s="5"/>
      <c r="BR23" s="64"/>
      <c r="BS23" s="5"/>
      <c r="BT23" s="65"/>
      <c r="BU23" s="5"/>
      <c r="BV23" s="64"/>
      <c r="BW23" s="5"/>
      <c r="BX23" s="65"/>
      <c r="BY23" s="5"/>
      <c r="BZ23" s="64"/>
      <c r="CA23" s="5"/>
      <c r="CB23" s="65"/>
      <c r="CC23" s="5"/>
      <c r="CD23" s="64"/>
      <c r="CE23" s="5"/>
      <c r="CF23" s="65"/>
      <c r="CG23" s="5"/>
      <c r="CH23" s="64"/>
      <c r="CI23" s="5"/>
      <c r="CJ23" s="65"/>
      <c r="CK23" s="5"/>
      <c r="CL23" s="64"/>
      <c r="CM23" s="5"/>
      <c r="CN23" s="65"/>
      <c r="CO23" s="5"/>
      <c r="CP23" s="64"/>
      <c r="CQ23" s="5"/>
      <c r="CR23" s="65"/>
      <c r="CS23" s="5"/>
      <c r="CT23" s="64"/>
      <c r="CU23" s="5"/>
      <c r="CV23" s="71"/>
      <c r="CX23" s="12"/>
      <c r="CY23" s="8"/>
      <c r="CZ23" s="7"/>
      <c r="DA23" s="8"/>
      <c r="DB23" s="7"/>
      <c r="DC23" s="8"/>
      <c r="DD23" s="7"/>
      <c r="DE23" s="8"/>
      <c r="DF23" s="12"/>
      <c r="DG23" s="8"/>
      <c r="DH23" s="7"/>
      <c r="DI23" s="8"/>
      <c r="DJ23" s="7"/>
      <c r="DK23" s="8"/>
      <c r="DL23" s="7"/>
      <c r="DM23" s="8"/>
      <c r="DN23" s="7"/>
      <c r="DO23" s="8"/>
      <c r="DP23" s="5"/>
      <c r="DQ23" s="13"/>
      <c r="DS23" s="12"/>
      <c r="DT23" s="8"/>
      <c r="DU23" s="7"/>
      <c r="DV23" s="8"/>
      <c r="DW23" s="7"/>
      <c r="DX23" s="8"/>
      <c r="DY23" s="7"/>
      <c r="DZ23" s="8"/>
      <c r="EA23" s="7"/>
      <c r="EB23" s="8"/>
      <c r="EC23" s="7"/>
      <c r="ED23" s="8"/>
      <c r="EE23" s="7"/>
      <c r="EF23" s="8"/>
      <c r="EG23" s="7"/>
      <c r="EH23" s="13"/>
      <c r="EJ23" s="15">
        <f t="shared" si="55"/>
        <v>0</v>
      </c>
      <c r="EK23" s="17">
        <f t="shared" si="55"/>
        <v>0</v>
      </c>
      <c r="EL23" s="17">
        <f t="shared" si="55"/>
        <v>0</v>
      </c>
      <c r="EM23" s="17">
        <f t="shared" si="55"/>
        <v>0</v>
      </c>
      <c r="EN23" s="17">
        <f t="shared" si="55"/>
        <v>0</v>
      </c>
      <c r="EO23" s="17">
        <f t="shared" si="55"/>
        <v>0</v>
      </c>
      <c r="EP23" s="17">
        <f t="shared" si="55"/>
        <v>0</v>
      </c>
      <c r="EQ23" s="17">
        <f t="shared" si="55"/>
        <v>0</v>
      </c>
      <c r="ER23" s="17">
        <f t="shared" si="55"/>
        <v>0</v>
      </c>
      <c r="ES23" s="17">
        <f t="shared" si="55"/>
        <v>0</v>
      </c>
      <c r="ET23" s="17">
        <f t="shared" si="55"/>
        <v>0</v>
      </c>
      <c r="EU23" s="17">
        <f t="shared" si="55"/>
        <v>0</v>
      </c>
      <c r="EV23" s="17">
        <f t="shared" si="55"/>
        <v>0</v>
      </c>
      <c r="EW23" s="17">
        <f t="shared" si="55"/>
        <v>0</v>
      </c>
      <c r="EX23" s="16">
        <f t="shared" si="55"/>
        <v>0</v>
      </c>
      <c r="EZ23" s="15">
        <f t="shared" si="36"/>
        <v>0</v>
      </c>
      <c r="FA23" s="16">
        <f t="shared" si="37"/>
        <v>0</v>
      </c>
      <c r="FB23" s="15">
        <f t="shared" si="38"/>
        <v>0</v>
      </c>
      <c r="FC23" s="16">
        <f t="shared" si="53"/>
        <v>0</v>
      </c>
      <c r="FD23" s="15">
        <f t="shared" si="40"/>
        <v>0</v>
      </c>
      <c r="FE23" s="16">
        <f t="shared" si="54"/>
        <v>0</v>
      </c>
      <c r="FG23" s="15">
        <f t="shared" si="42"/>
        <v>0</v>
      </c>
      <c r="FH23" s="16">
        <f t="shared" si="43"/>
        <v>0</v>
      </c>
      <c r="FJ23" s="15">
        <f t="shared" si="44"/>
        <v>0</v>
      </c>
      <c r="FK23" s="35" t="str" cm="1">
        <f t="array" ref="FK23">IFERROR(_xlfn.IFS($F23="Senior Staff",$FJ23*1250,$F23="Junior Staff",$FJ23*1000,$F23="Intern",0), "")</f>
        <v/>
      </c>
      <c r="FM23" s="36">
        <f t="shared" si="45"/>
        <v>0</v>
      </c>
      <c r="FN23" s="37">
        <f t="shared" si="46"/>
        <v>0</v>
      </c>
      <c r="FO23" s="38">
        <f t="shared" si="47"/>
        <v>0</v>
      </c>
      <c r="FP23" s="39">
        <f t="shared" si="48"/>
        <v>0</v>
      </c>
      <c r="FR23" s="44" t="str" cm="1">
        <f t="array" ref="FR23">IFERROR(_xlfn.IFS($F23="Senior Staff",3040,$F23="Junior Staff",1500,$F23="Intern",0),"")</f>
        <v/>
      </c>
      <c r="FS23" s="29">
        <f>SUM(ER23:$EV23)</f>
        <v>0</v>
      </c>
      <c r="FT23" s="34">
        <f t="shared" si="49"/>
        <v>0</v>
      </c>
      <c r="FV23" s="33"/>
      <c r="FW23" s="35">
        <f t="shared" si="50"/>
        <v>0</v>
      </c>
    </row>
    <row r="24" spans="2:179" ht="20.100000000000001" customHeight="1">
      <c r="B24" s="58"/>
      <c r="C24" s="6"/>
      <c r="D24" s="57"/>
      <c r="E24" s="6"/>
      <c r="F24" s="14"/>
      <c r="G24" s="14"/>
      <c r="H24" s="81"/>
      <c r="I24" s="5"/>
      <c r="J24" s="64"/>
      <c r="K24" s="5"/>
      <c r="L24" s="65"/>
      <c r="M24" s="5"/>
      <c r="N24" s="64"/>
      <c r="O24" s="5"/>
      <c r="P24" s="65"/>
      <c r="Q24" s="5"/>
      <c r="R24" s="64"/>
      <c r="S24" s="5"/>
      <c r="T24" s="65"/>
      <c r="U24" s="5"/>
      <c r="V24" s="64"/>
      <c r="W24" s="5"/>
      <c r="X24" s="65"/>
      <c r="Y24" s="5"/>
      <c r="Z24" s="64"/>
      <c r="AA24" s="5"/>
      <c r="AB24" s="65"/>
      <c r="AC24" s="5"/>
      <c r="AD24" s="64"/>
      <c r="AE24" s="5"/>
      <c r="AF24" s="65"/>
      <c r="AG24" s="5"/>
      <c r="AH24" s="64"/>
      <c r="AI24" s="5"/>
      <c r="AJ24" s="65"/>
      <c r="AK24" s="5"/>
      <c r="AL24" s="64"/>
      <c r="AM24" s="5"/>
      <c r="AN24" s="65"/>
      <c r="AO24" s="5"/>
      <c r="AP24" s="64"/>
      <c r="AQ24" s="5"/>
      <c r="AR24" s="65"/>
      <c r="AS24" s="5"/>
      <c r="AT24" s="64"/>
      <c r="AU24" s="5"/>
      <c r="AV24" s="65"/>
      <c r="AW24" s="5"/>
      <c r="AX24" s="64"/>
      <c r="AY24" s="5"/>
      <c r="AZ24" s="65"/>
      <c r="BA24" s="5"/>
      <c r="BB24" s="64"/>
      <c r="BC24" s="5"/>
      <c r="BD24" s="65"/>
      <c r="BE24" s="5"/>
      <c r="BF24" s="64"/>
      <c r="BG24" s="5"/>
      <c r="BH24" s="65"/>
      <c r="BI24" s="5"/>
      <c r="BJ24" s="64"/>
      <c r="BK24" s="5"/>
      <c r="BL24" s="65"/>
      <c r="BM24" s="5"/>
      <c r="BN24" s="64"/>
      <c r="BO24" s="5"/>
      <c r="BP24" s="65"/>
      <c r="BQ24" s="5"/>
      <c r="BR24" s="64"/>
      <c r="BS24" s="5"/>
      <c r="BT24" s="65"/>
      <c r="BU24" s="5"/>
      <c r="BV24" s="64"/>
      <c r="BW24" s="5"/>
      <c r="BX24" s="65"/>
      <c r="BY24" s="5"/>
      <c r="BZ24" s="64"/>
      <c r="CA24" s="5"/>
      <c r="CB24" s="65"/>
      <c r="CC24" s="5"/>
      <c r="CD24" s="64"/>
      <c r="CE24" s="5"/>
      <c r="CF24" s="65"/>
      <c r="CG24" s="5"/>
      <c r="CH24" s="64"/>
      <c r="CI24" s="5"/>
      <c r="CJ24" s="65"/>
      <c r="CK24" s="5"/>
      <c r="CL24" s="64"/>
      <c r="CM24" s="5"/>
      <c r="CN24" s="65"/>
      <c r="CO24" s="5"/>
      <c r="CP24" s="64"/>
      <c r="CQ24" s="5"/>
      <c r="CR24" s="65"/>
      <c r="CS24" s="5"/>
      <c r="CT24" s="64"/>
      <c r="CU24" s="5"/>
      <c r="CV24" s="71"/>
      <c r="CX24" s="12"/>
      <c r="CY24" s="8"/>
      <c r="CZ24" s="7"/>
      <c r="DA24" s="8"/>
      <c r="DB24" s="7"/>
      <c r="DC24" s="8"/>
      <c r="DD24" s="7"/>
      <c r="DE24" s="8"/>
      <c r="DF24" s="12"/>
      <c r="DG24" s="8"/>
      <c r="DH24" s="7"/>
      <c r="DI24" s="8"/>
      <c r="DJ24" s="7"/>
      <c r="DK24" s="8"/>
      <c r="DL24" s="7"/>
      <c r="DM24" s="8"/>
      <c r="DN24" s="7"/>
      <c r="DO24" s="8"/>
      <c r="DP24" s="5"/>
      <c r="DQ24" s="13"/>
      <c r="DS24" s="12"/>
      <c r="DT24" s="8"/>
      <c r="DU24" s="7"/>
      <c r="DV24" s="8"/>
      <c r="DW24" s="7"/>
      <c r="DX24" s="8"/>
      <c r="DY24" s="7"/>
      <c r="DZ24" s="8"/>
      <c r="EA24" s="7"/>
      <c r="EB24" s="8"/>
      <c r="EC24" s="7"/>
      <c r="ED24" s="8"/>
      <c r="EE24" s="7"/>
      <c r="EF24" s="8"/>
      <c r="EG24" s="7"/>
      <c r="EH24" s="13"/>
      <c r="EJ24" s="15">
        <f t="shared" si="55"/>
        <v>0</v>
      </c>
      <c r="EK24" s="17">
        <f t="shared" si="55"/>
        <v>0</v>
      </c>
      <c r="EL24" s="17">
        <f t="shared" si="55"/>
        <v>0</v>
      </c>
      <c r="EM24" s="17">
        <f t="shared" si="55"/>
        <v>0</v>
      </c>
      <c r="EN24" s="17">
        <f t="shared" si="55"/>
        <v>0</v>
      </c>
      <c r="EO24" s="17">
        <f t="shared" si="55"/>
        <v>0</v>
      </c>
      <c r="EP24" s="17">
        <f t="shared" si="55"/>
        <v>0</v>
      </c>
      <c r="EQ24" s="17">
        <f t="shared" si="55"/>
        <v>0</v>
      </c>
      <c r="ER24" s="17">
        <f t="shared" si="55"/>
        <v>0</v>
      </c>
      <c r="ES24" s="17">
        <f t="shared" si="55"/>
        <v>0</v>
      </c>
      <c r="ET24" s="17">
        <f t="shared" si="55"/>
        <v>0</v>
      </c>
      <c r="EU24" s="17">
        <f t="shared" si="55"/>
        <v>0</v>
      </c>
      <c r="EV24" s="17">
        <f t="shared" si="55"/>
        <v>0</v>
      </c>
      <c r="EW24" s="17">
        <f t="shared" si="55"/>
        <v>0</v>
      </c>
      <c r="EX24" s="16">
        <f t="shared" si="55"/>
        <v>0</v>
      </c>
      <c r="EZ24" s="15">
        <f t="shared" si="36"/>
        <v>0</v>
      </c>
      <c r="FA24" s="16">
        <f t="shared" si="37"/>
        <v>0</v>
      </c>
      <c r="FB24" s="15">
        <f t="shared" si="38"/>
        <v>0</v>
      </c>
      <c r="FC24" s="16">
        <f t="shared" si="53"/>
        <v>0</v>
      </c>
      <c r="FD24" s="15">
        <f t="shared" si="40"/>
        <v>0</v>
      </c>
      <c r="FE24" s="16">
        <f t="shared" si="54"/>
        <v>0</v>
      </c>
      <c r="FG24" s="15">
        <f t="shared" si="42"/>
        <v>0</v>
      </c>
      <c r="FH24" s="16">
        <f t="shared" si="43"/>
        <v>0</v>
      </c>
      <c r="FJ24" s="15">
        <f t="shared" si="44"/>
        <v>0</v>
      </c>
      <c r="FK24" s="35" t="str" cm="1">
        <f t="array" ref="FK24">IFERROR(_xlfn.IFS($F24="Senior Staff",$FJ24*1250,$F24="Junior Staff",$FJ24*1000,$F24="Intern",0), "")</f>
        <v/>
      </c>
      <c r="FM24" s="36">
        <f t="shared" si="45"/>
        <v>0</v>
      </c>
      <c r="FN24" s="37">
        <f t="shared" si="46"/>
        <v>0</v>
      </c>
      <c r="FO24" s="38">
        <f t="shared" si="47"/>
        <v>0</v>
      </c>
      <c r="FP24" s="39">
        <f t="shared" si="48"/>
        <v>0</v>
      </c>
      <c r="FR24" s="44" t="str" cm="1">
        <f t="array" ref="FR24">IFERROR(_xlfn.IFS($F24="Senior Staff",3040,$F24="Junior Staff",1500,$F24="Intern",0),"")</f>
        <v/>
      </c>
      <c r="FS24" s="29">
        <f>SUM(ER24:$EV24)</f>
        <v>0</v>
      </c>
      <c r="FT24" s="34">
        <f t="shared" si="49"/>
        <v>0</v>
      </c>
      <c r="FV24" s="33"/>
      <c r="FW24" s="35">
        <f t="shared" si="50"/>
        <v>0</v>
      </c>
    </row>
    <row r="25" spans="2:179" ht="20.100000000000001" customHeight="1">
      <c r="B25" s="58"/>
      <c r="C25" s="6"/>
      <c r="D25" s="57"/>
      <c r="E25" s="6"/>
      <c r="F25" s="14"/>
      <c r="G25" s="14"/>
      <c r="H25" s="81"/>
      <c r="I25" s="5"/>
      <c r="J25" s="64"/>
      <c r="K25" s="5"/>
      <c r="L25" s="65"/>
      <c r="M25" s="5"/>
      <c r="N25" s="64"/>
      <c r="O25" s="5"/>
      <c r="P25" s="65"/>
      <c r="Q25" s="5"/>
      <c r="R25" s="64"/>
      <c r="S25" s="5"/>
      <c r="T25" s="65"/>
      <c r="U25" s="5"/>
      <c r="V25" s="64"/>
      <c r="W25" s="5"/>
      <c r="X25" s="65"/>
      <c r="Y25" s="5"/>
      <c r="Z25" s="64"/>
      <c r="AA25" s="5"/>
      <c r="AB25" s="65"/>
      <c r="AC25" s="5"/>
      <c r="AD25" s="64"/>
      <c r="AE25" s="5"/>
      <c r="AF25" s="65"/>
      <c r="AG25" s="5"/>
      <c r="AH25" s="64"/>
      <c r="AI25" s="5"/>
      <c r="AJ25" s="65"/>
      <c r="AK25" s="5"/>
      <c r="AL25" s="64"/>
      <c r="AM25" s="5"/>
      <c r="AN25" s="65"/>
      <c r="AO25" s="5"/>
      <c r="AP25" s="64"/>
      <c r="AQ25" s="5"/>
      <c r="AR25" s="65"/>
      <c r="AS25" s="5"/>
      <c r="AT25" s="64"/>
      <c r="AU25" s="5"/>
      <c r="AV25" s="65"/>
      <c r="AW25" s="5"/>
      <c r="AX25" s="64"/>
      <c r="AY25" s="5"/>
      <c r="AZ25" s="65"/>
      <c r="BA25" s="5"/>
      <c r="BB25" s="64"/>
      <c r="BC25" s="5"/>
      <c r="BD25" s="65"/>
      <c r="BE25" s="5"/>
      <c r="BF25" s="64"/>
      <c r="BG25" s="5"/>
      <c r="BH25" s="65"/>
      <c r="BI25" s="5"/>
      <c r="BJ25" s="64"/>
      <c r="BK25" s="5"/>
      <c r="BL25" s="65"/>
      <c r="BM25" s="5"/>
      <c r="BN25" s="64"/>
      <c r="BO25" s="5"/>
      <c r="BP25" s="65"/>
      <c r="BQ25" s="5"/>
      <c r="BR25" s="64"/>
      <c r="BS25" s="5"/>
      <c r="BT25" s="65"/>
      <c r="BU25" s="5"/>
      <c r="BV25" s="64"/>
      <c r="BW25" s="5"/>
      <c r="BX25" s="65"/>
      <c r="BY25" s="5"/>
      <c r="BZ25" s="64"/>
      <c r="CA25" s="5"/>
      <c r="CB25" s="65"/>
      <c r="CC25" s="5"/>
      <c r="CD25" s="64"/>
      <c r="CE25" s="5"/>
      <c r="CF25" s="65"/>
      <c r="CG25" s="5"/>
      <c r="CH25" s="64"/>
      <c r="CI25" s="5"/>
      <c r="CJ25" s="65"/>
      <c r="CK25" s="5"/>
      <c r="CL25" s="64"/>
      <c r="CM25" s="5"/>
      <c r="CN25" s="65"/>
      <c r="CO25" s="5"/>
      <c r="CP25" s="64"/>
      <c r="CQ25" s="5"/>
      <c r="CR25" s="65"/>
      <c r="CS25" s="5"/>
      <c r="CT25" s="64"/>
      <c r="CU25" s="5"/>
      <c r="CV25" s="71"/>
      <c r="CX25" s="12"/>
      <c r="CY25" s="8"/>
      <c r="CZ25" s="7"/>
      <c r="DA25" s="8"/>
      <c r="DB25" s="7"/>
      <c r="DC25" s="8"/>
      <c r="DD25" s="7"/>
      <c r="DE25" s="8"/>
      <c r="DF25" s="12"/>
      <c r="DG25" s="8"/>
      <c r="DH25" s="7"/>
      <c r="DI25" s="8"/>
      <c r="DJ25" s="7"/>
      <c r="DK25" s="8"/>
      <c r="DL25" s="7"/>
      <c r="DM25" s="8"/>
      <c r="DN25" s="7"/>
      <c r="DO25" s="8"/>
      <c r="DP25" s="5"/>
      <c r="DQ25" s="13"/>
      <c r="DS25" s="12"/>
      <c r="DT25" s="8"/>
      <c r="DU25" s="7"/>
      <c r="DV25" s="8"/>
      <c r="DW25" s="7"/>
      <c r="DX25" s="8"/>
      <c r="DY25" s="7"/>
      <c r="DZ25" s="8"/>
      <c r="EA25" s="7"/>
      <c r="EB25" s="8"/>
      <c r="EC25" s="7"/>
      <c r="ED25" s="8"/>
      <c r="EE25" s="7"/>
      <c r="EF25" s="8"/>
      <c r="EG25" s="7"/>
      <c r="EH25" s="13"/>
      <c r="EJ25" s="15">
        <f t="shared" ref="EJ25:EX32" si="56">COUNTIF($I25:$CV25,EJ$5)</f>
        <v>0</v>
      </c>
      <c r="EK25" s="17">
        <f t="shared" si="56"/>
        <v>0</v>
      </c>
      <c r="EL25" s="17">
        <f t="shared" si="56"/>
        <v>0</v>
      </c>
      <c r="EM25" s="17">
        <f t="shared" si="56"/>
        <v>0</v>
      </c>
      <c r="EN25" s="17">
        <f t="shared" si="56"/>
        <v>0</v>
      </c>
      <c r="EO25" s="17">
        <f t="shared" si="56"/>
        <v>0</v>
      </c>
      <c r="EP25" s="17">
        <f t="shared" si="56"/>
        <v>0</v>
      </c>
      <c r="EQ25" s="17">
        <f t="shared" si="56"/>
        <v>0</v>
      </c>
      <c r="ER25" s="17">
        <f t="shared" si="56"/>
        <v>0</v>
      </c>
      <c r="ES25" s="17">
        <f t="shared" si="56"/>
        <v>0</v>
      </c>
      <c r="ET25" s="17">
        <f t="shared" si="56"/>
        <v>0</v>
      </c>
      <c r="EU25" s="17">
        <f t="shared" si="56"/>
        <v>0</v>
      </c>
      <c r="EV25" s="17">
        <f t="shared" si="56"/>
        <v>0</v>
      </c>
      <c r="EW25" s="17">
        <f t="shared" si="56"/>
        <v>0</v>
      </c>
      <c r="EX25" s="16">
        <f t="shared" si="56"/>
        <v>0</v>
      </c>
      <c r="EZ25" s="15">
        <f t="shared" si="36"/>
        <v>0</v>
      </c>
      <c r="FA25" s="16">
        <f t="shared" si="37"/>
        <v>0</v>
      </c>
      <c r="FB25" s="15">
        <f t="shared" si="38"/>
        <v>0</v>
      </c>
      <c r="FC25" s="16">
        <f t="shared" si="53"/>
        <v>0</v>
      </c>
      <c r="FD25" s="15">
        <f t="shared" si="40"/>
        <v>0</v>
      </c>
      <c r="FE25" s="16">
        <f t="shared" si="54"/>
        <v>0</v>
      </c>
      <c r="FG25" s="15">
        <f t="shared" si="42"/>
        <v>0</v>
      </c>
      <c r="FH25" s="16">
        <f t="shared" si="43"/>
        <v>0</v>
      </c>
      <c r="FJ25" s="15">
        <f t="shared" si="44"/>
        <v>0</v>
      </c>
      <c r="FK25" s="35" t="str" cm="1">
        <f t="array" ref="FK25">IFERROR(_xlfn.IFS($F25="Senior Staff",$FJ25*1250,$F25="Junior Staff",$FJ25*1000,$F25="Intern",0), "")</f>
        <v/>
      </c>
      <c r="FM25" s="36">
        <f t="shared" si="45"/>
        <v>0</v>
      </c>
      <c r="FN25" s="37">
        <f t="shared" si="46"/>
        <v>0</v>
      </c>
      <c r="FO25" s="38">
        <f t="shared" si="47"/>
        <v>0</v>
      </c>
      <c r="FP25" s="39">
        <f t="shared" si="48"/>
        <v>0</v>
      </c>
      <c r="FR25" s="44" t="str" cm="1">
        <f t="array" ref="FR25">IFERROR(_xlfn.IFS($F25="Senior Staff",3040,$F25="Junior Staff",1500,$F25="Intern",0),"")</f>
        <v/>
      </c>
      <c r="FS25" s="29">
        <f>SUM(ER25:$EV25)</f>
        <v>0</v>
      </c>
      <c r="FT25" s="34">
        <f t="shared" si="49"/>
        <v>0</v>
      </c>
      <c r="FV25" s="33"/>
      <c r="FW25" s="35">
        <f t="shared" si="50"/>
        <v>0</v>
      </c>
    </row>
    <row r="26" spans="2:179" ht="20.100000000000001" customHeight="1">
      <c r="B26" s="58"/>
      <c r="C26" s="6"/>
      <c r="D26" s="57"/>
      <c r="E26" s="6"/>
      <c r="F26" s="14"/>
      <c r="G26" s="14"/>
      <c r="H26" s="81"/>
      <c r="I26" s="5"/>
      <c r="J26" s="64"/>
      <c r="K26" s="5"/>
      <c r="L26" s="65"/>
      <c r="M26" s="5"/>
      <c r="N26" s="64"/>
      <c r="O26" s="5"/>
      <c r="P26" s="65"/>
      <c r="Q26" s="5"/>
      <c r="R26" s="64"/>
      <c r="S26" s="5"/>
      <c r="T26" s="65"/>
      <c r="U26" s="5"/>
      <c r="V26" s="64"/>
      <c r="W26" s="5"/>
      <c r="X26" s="65"/>
      <c r="Y26" s="5"/>
      <c r="Z26" s="64"/>
      <c r="AA26" s="5"/>
      <c r="AB26" s="65"/>
      <c r="AC26" s="5"/>
      <c r="AD26" s="64"/>
      <c r="AE26" s="5"/>
      <c r="AF26" s="65"/>
      <c r="AG26" s="5"/>
      <c r="AH26" s="64"/>
      <c r="AI26" s="5"/>
      <c r="AJ26" s="65"/>
      <c r="AK26" s="5"/>
      <c r="AL26" s="64"/>
      <c r="AM26" s="5"/>
      <c r="AN26" s="65"/>
      <c r="AO26" s="5"/>
      <c r="AP26" s="64"/>
      <c r="AQ26" s="5"/>
      <c r="AR26" s="65"/>
      <c r="AS26" s="5"/>
      <c r="AT26" s="64"/>
      <c r="AU26" s="5"/>
      <c r="AV26" s="65"/>
      <c r="AW26" s="5"/>
      <c r="AX26" s="64"/>
      <c r="AY26" s="5"/>
      <c r="AZ26" s="65"/>
      <c r="BA26" s="5"/>
      <c r="BB26" s="64"/>
      <c r="BC26" s="5"/>
      <c r="BD26" s="65"/>
      <c r="BE26" s="5"/>
      <c r="BF26" s="64"/>
      <c r="BG26" s="5"/>
      <c r="BH26" s="65"/>
      <c r="BI26" s="5"/>
      <c r="BJ26" s="64"/>
      <c r="BK26" s="5"/>
      <c r="BL26" s="65"/>
      <c r="BM26" s="5"/>
      <c r="BN26" s="64"/>
      <c r="BO26" s="5"/>
      <c r="BP26" s="65"/>
      <c r="BQ26" s="5"/>
      <c r="BR26" s="64"/>
      <c r="BS26" s="5"/>
      <c r="BT26" s="65"/>
      <c r="BU26" s="5"/>
      <c r="BV26" s="64"/>
      <c r="BW26" s="5"/>
      <c r="BX26" s="65"/>
      <c r="BY26" s="5"/>
      <c r="BZ26" s="64"/>
      <c r="CA26" s="5"/>
      <c r="CB26" s="65"/>
      <c r="CC26" s="5"/>
      <c r="CD26" s="64"/>
      <c r="CE26" s="5"/>
      <c r="CF26" s="65"/>
      <c r="CG26" s="5"/>
      <c r="CH26" s="64"/>
      <c r="CI26" s="5"/>
      <c r="CJ26" s="65"/>
      <c r="CK26" s="5"/>
      <c r="CL26" s="64"/>
      <c r="CM26" s="5"/>
      <c r="CN26" s="65"/>
      <c r="CO26" s="5"/>
      <c r="CP26" s="64"/>
      <c r="CQ26" s="5"/>
      <c r="CR26" s="65"/>
      <c r="CS26" s="5"/>
      <c r="CT26" s="64"/>
      <c r="CU26" s="5"/>
      <c r="CV26" s="71"/>
      <c r="CX26" s="12"/>
      <c r="CY26" s="8"/>
      <c r="CZ26" s="7"/>
      <c r="DA26" s="8"/>
      <c r="DB26" s="7"/>
      <c r="DC26" s="8"/>
      <c r="DD26" s="7"/>
      <c r="DE26" s="8"/>
      <c r="DF26" s="12"/>
      <c r="DG26" s="8"/>
      <c r="DH26" s="7"/>
      <c r="DI26" s="8"/>
      <c r="DJ26" s="7"/>
      <c r="DK26" s="8"/>
      <c r="DL26" s="7"/>
      <c r="DM26" s="8"/>
      <c r="DN26" s="7"/>
      <c r="DO26" s="8"/>
      <c r="DP26" s="5"/>
      <c r="DQ26" s="13"/>
      <c r="DS26" s="12"/>
      <c r="DT26" s="8"/>
      <c r="DU26" s="7"/>
      <c r="DV26" s="8"/>
      <c r="DW26" s="7"/>
      <c r="DX26" s="8"/>
      <c r="DY26" s="7"/>
      <c r="DZ26" s="8"/>
      <c r="EA26" s="7"/>
      <c r="EB26" s="8"/>
      <c r="EC26" s="7"/>
      <c r="ED26" s="8"/>
      <c r="EE26" s="7"/>
      <c r="EF26" s="8"/>
      <c r="EG26" s="7"/>
      <c r="EH26" s="13"/>
      <c r="EJ26" s="15">
        <f t="shared" si="56"/>
        <v>0</v>
      </c>
      <c r="EK26" s="17">
        <f t="shared" si="56"/>
        <v>0</v>
      </c>
      <c r="EL26" s="17">
        <f t="shared" si="56"/>
        <v>0</v>
      </c>
      <c r="EM26" s="17">
        <f t="shared" si="56"/>
        <v>0</v>
      </c>
      <c r="EN26" s="17">
        <f t="shared" si="56"/>
        <v>0</v>
      </c>
      <c r="EO26" s="17">
        <f t="shared" si="56"/>
        <v>0</v>
      </c>
      <c r="EP26" s="17">
        <f t="shared" si="56"/>
        <v>0</v>
      </c>
      <c r="EQ26" s="17">
        <f t="shared" si="56"/>
        <v>0</v>
      </c>
      <c r="ER26" s="17">
        <f t="shared" si="56"/>
        <v>0</v>
      </c>
      <c r="ES26" s="17">
        <f t="shared" si="56"/>
        <v>0</v>
      </c>
      <c r="ET26" s="17">
        <f t="shared" si="56"/>
        <v>0</v>
      </c>
      <c r="EU26" s="17">
        <f t="shared" si="56"/>
        <v>0</v>
      </c>
      <c r="EV26" s="17">
        <f t="shared" si="56"/>
        <v>0</v>
      </c>
      <c r="EW26" s="17">
        <f t="shared" si="56"/>
        <v>0</v>
      </c>
      <c r="EX26" s="16">
        <f t="shared" si="56"/>
        <v>0</v>
      </c>
      <c r="EZ26" s="15">
        <f t="shared" si="36"/>
        <v>0</v>
      </c>
      <c r="FA26" s="16">
        <f t="shared" si="37"/>
        <v>0</v>
      </c>
      <c r="FB26" s="15">
        <f t="shared" si="38"/>
        <v>0</v>
      </c>
      <c r="FC26" s="16">
        <f t="shared" si="53"/>
        <v>0</v>
      </c>
      <c r="FD26" s="15">
        <f t="shared" si="40"/>
        <v>0</v>
      </c>
      <c r="FE26" s="16">
        <f t="shared" si="54"/>
        <v>0</v>
      </c>
      <c r="FG26" s="15">
        <f t="shared" si="42"/>
        <v>0</v>
      </c>
      <c r="FH26" s="16">
        <f t="shared" si="43"/>
        <v>0</v>
      </c>
      <c r="FJ26" s="15">
        <f t="shared" si="44"/>
        <v>0</v>
      </c>
      <c r="FK26" s="35" t="str" cm="1">
        <f t="array" ref="FK26">IFERROR(_xlfn.IFS($F26="Senior Staff",$FJ26*1250,$F26="Junior Staff",$FJ26*1000,$F26="Intern",0), "")</f>
        <v/>
      </c>
      <c r="FM26" s="36">
        <f t="shared" si="45"/>
        <v>0</v>
      </c>
      <c r="FN26" s="37">
        <f t="shared" si="46"/>
        <v>0</v>
      </c>
      <c r="FO26" s="38">
        <f t="shared" si="47"/>
        <v>0</v>
      </c>
      <c r="FP26" s="39">
        <f t="shared" si="48"/>
        <v>0</v>
      </c>
      <c r="FR26" s="44" t="str" cm="1">
        <f t="array" ref="FR26">IFERROR(_xlfn.IFS($F26="Senior Staff",3040,$F26="Junior Staff",1500,$F26="Intern",0),"")</f>
        <v/>
      </c>
      <c r="FS26" s="29">
        <f>SUM(ER26:$EV26)</f>
        <v>0</v>
      </c>
      <c r="FT26" s="34">
        <f t="shared" si="49"/>
        <v>0</v>
      </c>
      <c r="FV26" s="33"/>
      <c r="FW26" s="35">
        <f t="shared" si="50"/>
        <v>0</v>
      </c>
    </row>
    <row r="27" spans="2:179" ht="20.100000000000001" customHeight="1">
      <c r="B27" s="58"/>
      <c r="C27" s="6"/>
      <c r="D27" s="57"/>
      <c r="E27" s="6"/>
      <c r="F27" s="14"/>
      <c r="G27" s="14"/>
      <c r="H27" s="81"/>
      <c r="I27" s="5"/>
      <c r="J27" s="64"/>
      <c r="K27" s="5"/>
      <c r="L27" s="65"/>
      <c r="M27" s="5"/>
      <c r="N27" s="64"/>
      <c r="O27" s="5"/>
      <c r="P27" s="65"/>
      <c r="Q27" s="5"/>
      <c r="R27" s="64"/>
      <c r="S27" s="5"/>
      <c r="T27" s="65"/>
      <c r="U27" s="5"/>
      <c r="V27" s="64"/>
      <c r="W27" s="5"/>
      <c r="X27" s="65"/>
      <c r="Y27" s="5"/>
      <c r="Z27" s="64"/>
      <c r="AA27" s="5"/>
      <c r="AB27" s="65"/>
      <c r="AC27" s="5"/>
      <c r="AD27" s="64"/>
      <c r="AE27" s="5"/>
      <c r="AF27" s="65"/>
      <c r="AG27" s="5"/>
      <c r="AH27" s="64"/>
      <c r="AI27" s="5"/>
      <c r="AJ27" s="65"/>
      <c r="AK27" s="5"/>
      <c r="AL27" s="64"/>
      <c r="AM27" s="5"/>
      <c r="AN27" s="65"/>
      <c r="AO27" s="5"/>
      <c r="AP27" s="64"/>
      <c r="AQ27" s="5"/>
      <c r="AR27" s="65"/>
      <c r="AS27" s="5"/>
      <c r="AT27" s="64"/>
      <c r="AU27" s="5"/>
      <c r="AV27" s="65"/>
      <c r="AW27" s="5"/>
      <c r="AX27" s="64"/>
      <c r="AY27" s="5"/>
      <c r="AZ27" s="65"/>
      <c r="BA27" s="5"/>
      <c r="BB27" s="64"/>
      <c r="BC27" s="5"/>
      <c r="BD27" s="65"/>
      <c r="BE27" s="5"/>
      <c r="BF27" s="64"/>
      <c r="BG27" s="5"/>
      <c r="BH27" s="65"/>
      <c r="BI27" s="5"/>
      <c r="BJ27" s="64"/>
      <c r="BK27" s="5"/>
      <c r="BL27" s="65"/>
      <c r="BM27" s="5"/>
      <c r="BN27" s="64"/>
      <c r="BO27" s="5"/>
      <c r="BP27" s="65"/>
      <c r="BQ27" s="5"/>
      <c r="BR27" s="64"/>
      <c r="BS27" s="5"/>
      <c r="BT27" s="65"/>
      <c r="BU27" s="5"/>
      <c r="BV27" s="64"/>
      <c r="BW27" s="5"/>
      <c r="BX27" s="65"/>
      <c r="BY27" s="5"/>
      <c r="BZ27" s="64"/>
      <c r="CA27" s="5"/>
      <c r="CB27" s="65"/>
      <c r="CC27" s="5"/>
      <c r="CD27" s="64"/>
      <c r="CE27" s="5"/>
      <c r="CF27" s="65"/>
      <c r="CG27" s="5"/>
      <c r="CH27" s="64"/>
      <c r="CI27" s="5"/>
      <c r="CJ27" s="65"/>
      <c r="CK27" s="5"/>
      <c r="CL27" s="64"/>
      <c r="CM27" s="5"/>
      <c r="CN27" s="65"/>
      <c r="CO27" s="5"/>
      <c r="CP27" s="64"/>
      <c r="CQ27" s="5"/>
      <c r="CR27" s="65"/>
      <c r="CS27" s="5"/>
      <c r="CT27" s="64"/>
      <c r="CU27" s="5"/>
      <c r="CV27" s="71"/>
      <c r="CX27" s="12"/>
      <c r="CY27" s="8"/>
      <c r="CZ27" s="7"/>
      <c r="DA27" s="8"/>
      <c r="DB27" s="7"/>
      <c r="DC27" s="8"/>
      <c r="DD27" s="7"/>
      <c r="DE27" s="8"/>
      <c r="DF27" s="12"/>
      <c r="DG27" s="8"/>
      <c r="DH27" s="7"/>
      <c r="DI27" s="8"/>
      <c r="DJ27" s="7"/>
      <c r="DK27" s="8"/>
      <c r="DL27" s="7"/>
      <c r="DM27" s="8"/>
      <c r="DN27" s="7"/>
      <c r="DO27" s="8"/>
      <c r="DP27" s="5"/>
      <c r="DQ27" s="13"/>
      <c r="DS27" s="12"/>
      <c r="DT27" s="8"/>
      <c r="DU27" s="7"/>
      <c r="DV27" s="8"/>
      <c r="DW27" s="7"/>
      <c r="DX27" s="8"/>
      <c r="DY27" s="7"/>
      <c r="DZ27" s="8"/>
      <c r="EA27" s="7"/>
      <c r="EB27" s="8"/>
      <c r="EC27" s="7"/>
      <c r="ED27" s="8"/>
      <c r="EE27" s="7"/>
      <c r="EF27" s="8"/>
      <c r="EG27" s="7"/>
      <c r="EH27" s="13"/>
      <c r="EJ27" s="15">
        <f t="shared" si="56"/>
        <v>0</v>
      </c>
      <c r="EK27" s="17">
        <f t="shared" si="56"/>
        <v>0</v>
      </c>
      <c r="EL27" s="17">
        <f t="shared" si="56"/>
        <v>0</v>
      </c>
      <c r="EM27" s="17">
        <f t="shared" si="56"/>
        <v>0</v>
      </c>
      <c r="EN27" s="17">
        <f t="shared" si="56"/>
        <v>0</v>
      </c>
      <c r="EO27" s="17">
        <f t="shared" si="56"/>
        <v>0</v>
      </c>
      <c r="EP27" s="17">
        <f t="shared" si="56"/>
        <v>0</v>
      </c>
      <c r="EQ27" s="17">
        <f t="shared" si="56"/>
        <v>0</v>
      </c>
      <c r="ER27" s="17">
        <f t="shared" si="56"/>
        <v>0</v>
      </c>
      <c r="ES27" s="17">
        <f t="shared" si="56"/>
        <v>0</v>
      </c>
      <c r="ET27" s="17">
        <f t="shared" si="56"/>
        <v>0</v>
      </c>
      <c r="EU27" s="17">
        <f t="shared" si="56"/>
        <v>0</v>
      </c>
      <c r="EV27" s="17">
        <f t="shared" si="56"/>
        <v>0</v>
      </c>
      <c r="EW27" s="17">
        <f t="shared" si="56"/>
        <v>0</v>
      </c>
      <c r="EX27" s="16">
        <f t="shared" si="56"/>
        <v>0</v>
      </c>
      <c r="EZ27" s="15">
        <f t="shared" si="36"/>
        <v>0</v>
      </c>
      <c r="FA27" s="16">
        <f t="shared" si="37"/>
        <v>0</v>
      </c>
      <c r="FB27" s="15">
        <f t="shared" si="38"/>
        <v>0</v>
      </c>
      <c r="FC27" s="16">
        <f t="shared" si="53"/>
        <v>0</v>
      </c>
      <c r="FD27" s="15">
        <f t="shared" si="40"/>
        <v>0</v>
      </c>
      <c r="FE27" s="16">
        <f t="shared" si="54"/>
        <v>0</v>
      </c>
      <c r="FG27" s="15">
        <f t="shared" si="42"/>
        <v>0</v>
      </c>
      <c r="FH27" s="16">
        <f t="shared" si="43"/>
        <v>0</v>
      </c>
      <c r="FJ27" s="15">
        <f t="shared" si="44"/>
        <v>0</v>
      </c>
      <c r="FK27" s="35" t="str" cm="1">
        <f t="array" ref="FK27">IFERROR(_xlfn.IFS($F27="Senior Staff",$FJ27*1250,$F27="Junior Staff",$FJ27*1000,$F27="Intern",0), "")</f>
        <v/>
      </c>
      <c r="FM27" s="36">
        <f t="shared" si="45"/>
        <v>0</v>
      </c>
      <c r="FN27" s="37">
        <f t="shared" si="46"/>
        <v>0</v>
      </c>
      <c r="FO27" s="38">
        <f t="shared" si="47"/>
        <v>0</v>
      </c>
      <c r="FP27" s="39">
        <f t="shared" si="48"/>
        <v>0</v>
      </c>
      <c r="FR27" s="44" t="str" cm="1">
        <f t="array" ref="FR27">IFERROR(_xlfn.IFS($F27="Senior Staff",3040,$F27="Junior Staff",1500,$F27="Intern",0),"")</f>
        <v/>
      </c>
      <c r="FS27" s="29">
        <f>SUM(ER27:$EV27)</f>
        <v>0</v>
      </c>
      <c r="FT27" s="34">
        <f t="shared" si="49"/>
        <v>0</v>
      </c>
      <c r="FV27" s="33"/>
      <c r="FW27" s="35">
        <f t="shared" si="50"/>
        <v>0</v>
      </c>
    </row>
    <row r="28" spans="2:179" ht="20.100000000000001" customHeight="1">
      <c r="B28" s="58"/>
      <c r="C28" s="6"/>
      <c r="D28" s="57"/>
      <c r="E28" s="6"/>
      <c r="F28" s="14"/>
      <c r="G28" s="14"/>
      <c r="H28" s="81"/>
      <c r="I28" s="5"/>
      <c r="J28" s="64"/>
      <c r="K28" s="5"/>
      <c r="L28" s="65"/>
      <c r="M28" s="5"/>
      <c r="N28" s="64"/>
      <c r="O28" s="5"/>
      <c r="P28" s="65"/>
      <c r="Q28" s="5"/>
      <c r="R28" s="64"/>
      <c r="S28" s="5"/>
      <c r="T28" s="65"/>
      <c r="U28" s="5"/>
      <c r="V28" s="64"/>
      <c r="W28" s="5"/>
      <c r="X28" s="65"/>
      <c r="Y28" s="5"/>
      <c r="Z28" s="64"/>
      <c r="AA28" s="5"/>
      <c r="AB28" s="65"/>
      <c r="AC28" s="5"/>
      <c r="AD28" s="64"/>
      <c r="AE28" s="5"/>
      <c r="AF28" s="65"/>
      <c r="AG28" s="5"/>
      <c r="AH28" s="64"/>
      <c r="AI28" s="5"/>
      <c r="AJ28" s="65"/>
      <c r="AK28" s="5"/>
      <c r="AL28" s="64"/>
      <c r="AM28" s="5"/>
      <c r="AN28" s="65"/>
      <c r="AO28" s="5"/>
      <c r="AP28" s="64"/>
      <c r="AQ28" s="5"/>
      <c r="AR28" s="65"/>
      <c r="AS28" s="5"/>
      <c r="AT28" s="64"/>
      <c r="AU28" s="5"/>
      <c r="AV28" s="65"/>
      <c r="AW28" s="5"/>
      <c r="AX28" s="64"/>
      <c r="AY28" s="5"/>
      <c r="AZ28" s="65"/>
      <c r="BA28" s="5"/>
      <c r="BB28" s="64"/>
      <c r="BC28" s="5"/>
      <c r="BD28" s="65"/>
      <c r="BE28" s="5"/>
      <c r="BF28" s="64"/>
      <c r="BG28" s="5"/>
      <c r="BH28" s="65"/>
      <c r="BI28" s="5"/>
      <c r="BJ28" s="64"/>
      <c r="BK28" s="5"/>
      <c r="BL28" s="65"/>
      <c r="BM28" s="5"/>
      <c r="BN28" s="64"/>
      <c r="BO28" s="5"/>
      <c r="BP28" s="65"/>
      <c r="BQ28" s="5"/>
      <c r="BR28" s="64"/>
      <c r="BS28" s="5"/>
      <c r="BT28" s="65"/>
      <c r="BU28" s="5"/>
      <c r="BV28" s="64"/>
      <c r="BW28" s="5"/>
      <c r="BX28" s="65"/>
      <c r="BY28" s="5"/>
      <c r="BZ28" s="64"/>
      <c r="CA28" s="5"/>
      <c r="CB28" s="65"/>
      <c r="CC28" s="5"/>
      <c r="CD28" s="64"/>
      <c r="CE28" s="5"/>
      <c r="CF28" s="65"/>
      <c r="CG28" s="5"/>
      <c r="CH28" s="64"/>
      <c r="CI28" s="5"/>
      <c r="CJ28" s="65"/>
      <c r="CK28" s="5"/>
      <c r="CL28" s="64"/>
      <c r="CM28" s="5"/>
      <c r="CN28" s="65"/>
      <c r="CO28" s="5"/>
      <c r="CP28" s="64"/>
      <c r="CQ28" s="5"/>
      <c r="CR28" s="65"/>
      <c r="CS28" s="5"/>
      <c r="CT28" s="64"/>
      <c r="CU28" s="5"/>
      <c r="CV28" s="71"/>
      <c r="CX28" s="12"/>
      <c r="CY28" s="8"/>
      <c r="CZ28" s="7"/>
      <c r="DA28" s="8"/>
      <c r="DB28" s="7"/>
      <c r="DC28" s="8"/>
      <c r="DD28" s="7"/>
      <c r="DE28" s="8"/>
      <c r="DF28" s="12"/>
      <c r="DG28" s="8"/>
      <c r="DH28" s="7"/>
      <c r="DI28" s="8"/>
      <c r="DJ28" s="7"/>
      <c r="DK28" s="8"/>
      <c r="DL28" s="7"/>
      <c r="DM28" s="8"/>
      <c r="DN28" s="7"/>
      <c r="DO28" s="8"/>
      <c r="DP28" s="5"/>
      <c r="DQ28" s="13"/>
      <c r="DS28" s="12"/>
      <c r="DT28" s="8"/>
      <c r="DU28" s="7"/>
      <c r="DV28" s="8"/>
      <c r="DW28" s="7"/>
      <c r="DX28" s="8"/>
      <c r="DY28" s="7"/>
      <c r="DZ28" s="8"/>
      <c r="EA28" s="7"/>
      <c r="EB28" s="8"/>
      <c r="EC28" s="7"/>
      <c r="ED28" s="8"/>
      <c r="EE28" s="7"/>
      <c r="EF28" s="8"/>
      <c r="EG28" s="7"/>
      <c r="EH28" s="13"/>
      <c r="EJ28" s="15">
        <f t="shared" si="56"/>
        <v>0</v>
      </c>
      <c r="EK28" s="17">
        <f t="shared" si="56"/>
        <v>0</v>
      </c>
      <c r="EL28" s="17">
        <f t="shared" si="56"/>
        <v>0</v>
      </c>
      <c r="EM28" s="17">
        <f t="shared" si="56"/>
        <v>0</v>
      </c>
      <c r="EN28" s="17">
        <f t="shared" si="56"/>
        <v>0</v>
      </c>
      <c r="EO28" s="17">
        <f t="shared" si="56"/>
        <v>0</v>
      </c>
      <c r="EP28" s="17">
        <f t="shared" si="56"/>
        <v>0</v>
      </c>
      <c r="EQ28" s="17">
        <f t="shared" si="56"/>
        <v>0</v>
      </c>
      <c r="ER28" s="17">
        <f t="shared" si="56"/>
        <v>0</v>
      </c>
      <c r="ES28" s="17">
        <f t="shared" si="56"/>
        <v>0</v>
      </c>
      <c r="ET28" s="17">
        <f t="shared" si="56"/>
        <v>0</v>
      </c>
      <c r="EU28" s="17">
        <f t="shared" si="56"/>
        <v>0</v>
      </c>
      <c r="EV28" s="17">
        <f t="shared" si="56"/>
        <v>0</v>
      </c>
      <c r="EW28" s="17">
        <f t="shared" si="56"/>
        <v>0</v>
      </c>
      <c r="EX28" s="16">
        <f t="shared" si="56"/>
        <v>0</v>
      </c>
      <c r="EZ28" s="15">
        <f t="shared" si="36"/>
        <v>0</v>
      </c>
      <c r="FA28" s="16">
        <f t="shared" si="37"/>
        <v>0</v>
      </c>
      <c r="FB28" s="15">
        <f t="shared" si="38"/>
        <v>0</v>
      </c>
      <c r="FC28" s="16">
        <f t="shared" si="53"/>
        <v>0</v>
      </c>
      <c r="FD28" s="15">
        <f t="shared" si="40"/>
        <v>0</v>
      </c>
      <c r="FE28" s="16">
        <f t="shared" si="54"/>
        <v>0</v>
      </c>
      <c r="FG28" s="15">
        <f t="shared" si="42"/>
        <v>0</v>
      </c>
      <c r="FH28" s="16">
        <f t="shared" si="43"/>
        <v>0</v>
      </c>
      <c r="FJ28" s="15">
        <f t="shared" si="44"/>
        <v>0</v>
      </c>
      <c r="FK28" s="35" t="str" cm="1">
        <f t="array" ref="FK28">IFERROR(_xlfn.IFS($F28="Senior Staff",$FJ28*1250,$F28="Junior Staff",$FJ28*1000,$F28="Intern",0), "")</f>
        <v/>
      </c>
      <c r="FM28" s="36">
        <f t="shared" si="45"/>
        <v>0</v>
      </c>
      <c r="FN28" s="37">
        <f t="shared" si="46"/>
        <v>0</v>
      </c>
      <c r="FO28" s="38">
        <f t="shared" si="47"/>
        <v>0</v>
      </c>
      <c r="FP28" s="39">
        <f t="shared" si="48"/>
        <v>0</v>
      </c>
      <c r="FR28" s="44" t="str" cm="1">
        <f t="array" ref="FR28">IFERROR(_xlfn.IFS($F28="Senior Staff",3040,$F28="Junior Staff",1500,$F28="Intern",0),"")</f>
        <v/>
      </c>
      <c r="FS28" s="29">
        <f>SUM(ER28:$EV28)</f>
        <v>0</v>
      </c>
      <c r="FT28" s="34">
        <f t="shared" si="49"/>
        <v>0</v>
      </c>
      <c r="FV28" s="33"/>
      <c r="FW28" s="35">
        <f t="shared" si="50"/>
        <v>0</v>
      </c>
    </row>
    <row r="29" spans="2:179" ht="20.100000000000001" customHeight="1">
      <c r="B29" s="58"/>
      <c r="C29" s="6"/>
      <c r="D29" s="57"/>
      <c r="E29" s="6"/>
      <c r="F29" s="14"/>
      <c r="G29" s="14"/>
      <c r="H29" s="81"/>
      <c r="I29" s="5"/>
      <c r="J29" s="64"/>
      <c r="K29" s="5"/>
      <c r="L29" s="65"/>
      <c r="M29" s="5"/>
      <c r="N29" s="64"/>
      <c r="O29" s="5"/>
      <c r="P29" s="65"/>
      <c r="Q29" s="5"/>
      <c r="R29" s="64"/>
      <c r="S29" s="5"/>
      <c r="T29" s="65"/>
      <c r="U29" s="5"/>
      <c r="V29" s="64"/>
      <c r="W29" s="5"/>
      <c r="X29" s="65"/>
      <c r="Y29" s="5"/>
      <c r="Z29" s="64"/>
      <c r="AA29" s="5"/>
      <c r="AB29" s="65"/>
      <c r="AC29" s="5"/>
      <c r="AD29" s="64"/>
      <c r="AE29" s="5"/>
      <c r="AF29" s="65"/>
      <c r="AG29" s="5"/>
      <c r="AH29" s="64"/>
      <c r="AI29" s="5"/>
      <c r="AJ29" s="65"/>
      <c r="AK29" s="5"/>
      <c r="AL29" s="64"/>
      <c r="AM29" s="5"/>
      <c r="AN29" s="65"/>
      <c r="AO29" s="5"/>
      <c r="AP29" s="64"/>
      <c r="AQ29" s="5"/>
      <c r="AR29" s="65"/>
      <c r="AS29" s="5"/>
      <c r="AT29" s="64"/>
      <c r="AU29" s="5"/>
      <c r="AV29" s="65"/>
      <c r="AW29" s="5"/>
      <c r="AX29" s="64"/>
      <c r="AY29" s="5"/>
      <c r="AZ29" s="65"/>
      <c r="BA29" s="5"/>
      <c r="BB29" s="64"/>
      <c r="BC29" s="5"/>
      <c r="BD29" s="65"/>
      <c r="BE29" s="5"/>
      <c r="BF29" s="64"/>
      <c r="BG29" s="5"/>
      <c r="BH29" s="65"/>
      <c r="BI29" s="5"/>
      <c r="BJ29" s="64"/>
      <c r="BK29" s="5"/>
      <c r="BL29" s="65"/>
      <c r="BM29" s="5"/>
      <c r="BN29" s="64"/>
      <c r="BO29" s="5"/>
      <c r="BP29" s="65"/>
      <c r="BQ29" s="5"/>
      <c r="BR29" s="64"/>
      <c r="BS29" s="5"/>
      <c r="BT29" s="65"/>
      <c r="BU29" s="5"/>
      <c r="BV29" s="64"/>
      <c r="BW29" s="5"/>
      <c r="BX29" s="65"/>
      <c r="BY29" s="5"/>
      <c r="BZ29" s="64"/>
      <c r="CA29" s="5"/>
      <c r="CB29" s="65"/>
      <c r="CC29" s="5"/>
      <c r="CD29" s="64"/>
      <c r="CE29" s="5"/>
      <c r="CF29" s="65"/>
      <c r="CG29" s="5"/>
      <c r="CH29" s="64"/>
      <c r="CI29" s="5"/>
      <c r="CJ29" s="65"/>
      <c r="CK29" s="5"/>
      <c r="CL29" s="64"/>
      <c r="CM29" s="5"/>
      <c r="CN29" s="65"/>
      <c r="CO29" s="5"/>
      <c r="CP29" s="64"/>
      <c r="CQ29" s="5"/>
      <c r="CR29" s="65"/>
      <c r="CS29" s="5"/>
      <c r="CT29" s="64"/>
      <c r="CU29" s="5"/>
      <c r="CV29" s="71"/>
      <c r="CX29" s="12"/>
      <c r="CY29" s="8"/>
      <c r="CZ29" s="7"/>
      <c r="DA29" s="8"/>
      <c r="DB29" s="7"/>
      <c r="DC29" s="8"/>
      <c r="DD29" s="7"/>
      <c r="DE29" s="8"/>
      <c r="DF29" s="12"/>
      <c r="DG29" s="8"/>
      <c r="DH29" s="7"/>
      <c r="DI29" s="8"/>
      <c r="DJ29" s="7"/>
      <c r="DK29" s="8"/>
      <c r="DL29" s="7"/>
      <c r="DM29" s="8"/>
      <c r="DN29" s="7"/>
      <c r="DO29" s="8"/>
      <c r="DP29" s="5"/>
      <c r="DQ29" s="13"/>
      <c r="DS29" s="12"/>
      <c r="DT29" s="8"/>
      <c r="DU29" s="7"/>
      <c r="DV29" s="8"/>
      <c r="DW29" s="7"/>
      <c r="DX29" s="8"/>
      <c r="DY29" s="7"/>
      <c r="DZ29" s="8"/>
      <c r="EA29" s="7"/>
      <c r="EB29" s="8"/>
      <c r="EC29" s="7"/>
      <c r="ED29" s="8"/>
      <c r="EE29" s="7"/>
      <c r="EF29" s="8"/>
      <c r="EG29" s="7"/>
      <c r="EH29" s="13"/>
      <c r="EJ29" s="15">
        <f t="shared" si="56"/>
        <v>0</v>
      </c>
      <c r="EK29" s="17">
        <f t="shared" si="56"/>
        <v>0</v>
      </c>
      <c r="EL29" s="17">
        <f t="shared" si="56"/>
        <v>0</v>
      </c>
      <c r="EM29" s="17">
        <f t="shared" si="56"/>
        <v>0</v>
      </c>
      <c r="EN29" s="17">
        <f t="shared" si="56"/>
        <v>0</v>
      </c>
      <c r="EO29" s="17">
        <f t="shared" si="56"/>
        <v>0</v>
      </c>
      <c r="EP29" s="17">
        <f t="shared" si="56"/>
        <v>0</v>
      </c>
      <c r="EQ29" s="17">
        <f t="shared" si="56"/>
        <v>0</v>
      </c>
      <c r="ER29" s="17">
        <f t="shared" si="56"/>
        <v>0</v>
      </c>
      <c r="ES29" s="17">
        <f t="shared" si="56"/>
        <v>0</v>
      </c>
      <c r="ET29" s="17">
        <f t="shared" si="56"/>
        <v>0</v>
      </c>
      <c r="EU29" s="17">
        <f t="shared" si="56"/>
        <v>0</v>
      </c>
      <c r="EV29" s="17">
        <f t="shared" si="56"/>
        <v>0</v>
      </c>
      <c r="EW29" s="17">
        <f t="shared" si="56"/>
        <v>0</v>
      </c>
      <c r="EX29" s="16">
        <f t="shared" si="56"/>
        <v>0</v>
      </c>
      <c r="EZ29" s="15">
        <f t="shared" si="36"/>
        <v>0</v>
      </c>
      <c r="FA29" s="16">
        <f t="shared" si="37"/>
        <v>0</v>
      </c>
      <c r="FB29" s="15">
        <f t="shared" si="38"/>
        <v>0</v>
      </c>
      <c r="FC29" s="16">
        <f t="shared" si="53"/>
        <v>0</v>
      </c>
      <c r="FD29" s="15">
        <f t="shared" si="40"/>
        <v>0</v>
      </c>
      <c r="FE29" s="16">
        <f t="shared" si="54"/>
        <v>0</v>
      </c>
      <c r="FG29" s="15">
        <f t="shared" si="42"/>
        <v>0</v>
      </c>
      <c r="FH29" s="16">
        <f t="shared" si="43"/>
        <v>0</v>
      </c>
      <c r="FJ29" s="15">
        <f t="shared" si="44"/>
        <v>0</v>
      </c>
      <c r="FK29" s="35" t="str" cm="1">
        <f t="array" ref="FK29">IFERROR(_xlfn.IFS($F29="Senior Staff",$FJ29*1250,$F29="Junior Staff",$FJ29*1000,$F29="Intern",0), "")</f>
        <v/>
      </c>
      <c r="FM29" s="36">
        <f t="shared" si="45"/>
        <v>0</v>
      </c>
      <c r="FN29" s="37">
        <f t="shared" si="46"/>
        <v>0</v>
      </c>
      <c r="FO29" s="38">
        <f t="shared" si="47"/>
        <v>0</v>
      </c>
      <c r="FP29" s="39">
        <f t="shared" si="48"/>
        <v>0</v>
      </c>
      <c r="FR29" s="44" t="str" cm="1">
        <f t="array" ref="FR29">IFERROR(_xlfn.IFS($F29="Senior Staff",3040,$F29="Junior Staff",1500,$F29="Intern",0),"")</f>
        <v/>
      </c>
      <c r="FS29" s="29">
        <f>SUM(ER29:$EV29)</f>
        <v>0</v>
      </c>
      <c r="FT29" s="34">
        <f t="shared" si="49"/>
        <v>0</v>
      </c>
      <c r="FV29" s="33"/>
      <c r="FW29" s="35">
        <f t="shared" si="50"/>
        <v>0</v>
      </c>
    </row>
    <row r="30" spans="2:179" ht="20.100000000000001" customHeight="1">
      <c r="B30" s="58"/>
      <c r="C30" s="6"/>
      <c r="D30" s="57"/>
      <c r="E30" s="6"/>
      <c r="F30" s="14"/>
      <c r="G30" s="14"/>
      <c r="H30" s="81"/>
      <c r="I30" s="5"/>
      <c r="J30" s="64"/>
      <c r="K30" s="5"/>
      <c r="L30" s="65"/>
      <c r="M30" s="5"/>
      <c r="N30" s="64"/>
      <c r="O30" s="5"/>
      <c r="P30" s="65"/>
      <c r="Q30" s="5"/>
      <c r="R30" s="64"/>
      <c r="S30" s="5"/>
      <c r="T30" s="65"/>
      <c r="U30" s="5"/>
      <c r="V30" s="64"/>
      <c r="W30" s="5"/>
      <c r="X30" s="65"/>
      <c r="Y30" s="5"/>
      <c r="Z30" s="64"/>
      <c r="AA30" s="5"/>
      <c r="AB30" s="65"/>
      <c r="AC30" s="5"/>
      <c r="AD30" s="64"/>
      <c r="AE30" s="5"/>
      <c r="AF30" s="65"/>
      <c r="AG30" s="5"/>
      <c r="AH30" s="64"/>
      <c r="AI30" s="5"/>
      <c r="AJ30" s="65"/>
      <c r="AK30" s="5"/>
      <c r="AL30" s="64"/>
      <c r="AM30" s="5"/>
      <c r="AN30" s="65"/>
      <c r="AO30" s="5"/>
      <c r="AP30" s="64"/>
      <c r="AQ30" s="5"/>
      <c r="AR30" s="65"/>
      <c r="AS30" s="5"/>
      <c r="AT30" s="64"/>
      <c r="AU30" s="5"/>
      <c r="AV30" s="65"/>
      <c r="AW30" s="5"/>
      <c r="AX30" s="64"/>
      <c r="AY30" s="5"/>
      <c r="AZ30" s="65"/>
      <c r="BA30" s="5"/>
      <c r="BB30" s="64"/>
      <c r="BC30" s="5"/>
      <c r="BD30" s="65"/>
      <c r="BE30" s="5"/>
      <c r="BF30" s="64"/>
      <c r="BG30" s="5"/>
      <c r="BH30" s="65"/>
      <c r="BI30" s="5"/>
      <c r="BJ30" s="64"/>
      <c r="BK30" s="5"/>
      <c r="BL30" s="65"/>
      <c r="BM30" s="5"/>
      <c r="BN30" s="64"/>
      <c r="BO30" s="5"/>
      <c r="BP30" s="65"/>
      <c r="BQ30" s="5"/>
      <c r="BR30" s="64"/>
      <c r="BS30" s="5"/>
      <c r="BT30" s="65"/>
      <c r="BU30" s="5"/>
      <c r="BV30" s="64"/>
      <c r="BW30" s="5"/>
      <c r="BX30" s="65"/>
      <c r="BY30" s="5"/>
      <c r="BZ30" s="64"/>
      <c r="CA30" s="5"/>
      <c r="CB30" s="65"/>
      <c r="CC30" s="5"/>
      <c r="CD30" s="64"/>
      <c r="CE30" s="5"/>
      <c r="CF30" s="65"/>
      <c r="CG30" s="5"/>
      <c r="CH30" s="64"/>
      <c r="CI30" s="5"/>
      <c r="CJ30" s="65"/>
      <c r="CK30" s="5"/>
      <c r="CL30" s="64"/>
      <c r="CM30" s="5"/>
      <c r="CN30" s="65"/>
      <c r="CO30" s="5"/>
      <c r="CP30" s="64"/>
      <c r="CQ30" s="5"/>
      <c r="CR30" s="65"/>
      <c r="CS30" s="5"/>
      <c r="CT30" s="64"/>
      <c r="CU30" s="5"/>
      <c r="CV30" s="71"/>
      <c r="CX30" s="12"/>
      <c r="CY30" s="8"/>
      <c r="CZ30" s="7"/>
      <c r="DA30" s="8"/>
      <c r="DB30" s="7"/>
      <c r="DC30" s="8"/>
      <c r="DD30" s="7"/>
      <c r="DE30" s="8"/>
      <c r="DF30" s="12"/>
      <c r="DG30" s="8"/>
      <c r="DH30" s="7"/>
      <c r="DI30" s="8"/>
      <c r="DJ30" s="7"/>
      <c r="DK30" s="8"/>
      <c r="DL30" s="7"/>
      <c r="DM30" s="8"/>
      <c r="DN30" s="7"/>
      <c r="DO30" s="8"/>
      <c r="DP30" s="5"/>
      <c r="DQ30" s="13"/>
      <c r="DS30" s="12"/>
      <c r="DT30" s="8"/>
      <c r="DU30" s="7"/>
      <c r="DV30" s="8"/>
      <c r="DW30" s="7"/>
      <c r="DX30" s="8"/>
      <c r="DY30" s="7"/>
      <c r="DZ30" s="8"/>
      <c r="EA30" s="7"/>
      <c r="EB30" s="8"/>
      <c r="EC30" s="7"/>
      <c r="ED30" s="8"/>
      <c r="EE30" s="7"/>
      <c r="EF30" s="8"/>
      <c r="EG30" s="7"/>
      <c r="EH30" s="13"/>
      <c r="EJ30" s="15">
        <f t="shared" si="56"/>
        <v>0</v>
      </c>
      <c r="EK30" s="17">
        <f t="shared" si="56"/>
        <v>0</v>
      </c>
      <c r="EL30" s="17">
        <f t="shared" si="56"/>
        <v>0</v>
      </c>
      <c r="EM30" s="17">
        <f t="shared" si="56"/>
        <v>0</v>
      </c>
      <c r="EN30" s="17">
        <f t="shared" si="56"/>
        <v>0</v>
      </c>
      <c r="EO30" s="17">
        <f t="shared" si="56"/>
        <v>0</v>
      </c>
      <c r="EP30" s="17">
        <f t="shared" si="56"/>
        <v>0</v>
      </c>
      <c r="EQ30" s="17">
        <f t="shared" si="56"/>
        <v>0</v>
      </c>
      <c r="ER30" s="17">
        <f t="shared" si="56"/>
        <v>0</v>
      </c>
      <c r="ES30" s="17">
        <f t="shared" si="56"/>
        <v>0</v>
      </c>
      <c r="ET30" s="17">
        <f t="shared" si="56"/>
        <v>0</v>
      </c>
      <c r="EU30" s="17">
        <f t="shared" si="56"/>
        <v>0</v>
      </c>
      <c r="EV30" s="17">
        <f t="shared" si="56"/>
        <v>0</v>
      </c>
      <c r="EW30" s="17">
        <f t="shared" si="56"/>
        <v>0</v>
      </c>
      <c r="EX30" s="16">
        <f t="shared" si="56"/>
        <v>0</v>
      </c>
      <c r="EZ30" s="15">
        <f t="shared" si="36"/>
        <v>0</v>
      </c>
      <c r="FA30" s="16">
        <f t="shared" si="37"/>
        <v>0</v>
      </c>
      <c r="FB30" s="15">
        <f t="shared" si="38"/>
        <v>0</v>
      </c>
      <c r="FC30" s="16">
        <f t="shared" si="53"/>
        <v>0</v>
      </c>
      <c r="FD30" s="15">
        <f t="shared" si="40"/>
        <v>0</v>
      </c>
      <c r="FE30" s="16">
        <f t="shared" si="54"/>
        <v>0</v>
      </c>
      <c r="FG30" s="15">
        <f t="shared" si="42"/>
        <v>0</v>
      </c>
      <c r="FH30" s="16">
        <f t="shared" si="43"/>
        <v>0</v>
      </c>
      <c r="FJ30" s="15">
        <f t="shared" si="44"/>
        <v>0</v>
      </c>
      <c r="FK30" s="35" t="str" cm="1">
        <f t="array" ref="FK30">IFERROR(_xlfn.IFS($F30="Senior Staff",$FJ30*1250,$F30="Junior Staff",$FJ30*1000,$F30="Intern",0), "")</f>
        <v/>
      </c>
      <c r="FM30" s="36">
        <f t="shared" si="45"/>
        <v>0</v>
      </c>
      <c r="FN30" s="37">
        <f t="shared" si="46"/>
        <v>0</v>
      </c>
      <c r="FO30" s="38">
        <f t="shared" si="47"/>
        <v>0</v>
      </c>
      <c r="FP30" s="39">
        <f t="shared" si="48"/>
        <v>0</v>
      </c>
      <c r="FR30" s="44" t="str" cm="1">
        <f t="array" ref="FR30">IFERROR(_xlfn.IFS($F30="Senior Staff",3040,$F30="Junior Staff",1500,$F30="Intern",0),"")</f>
        <v/>
      </c>
      <c r="FS30" s="29">
        <f>SUM(ER30:$EV30)</f>
        <v>0</v>
      </c>
      <c r="FT30" s="34">
        <f t="shared" si="49"/>
        <v>0</v>
      </c>
      <c r="FV30" s="33"/>
      <c r="FW30" s="35">
        <f t="shared" si="50"/>
        <v>0</v>
      </c>
    </row>
    <row r="31" spans="2:179" ht="20.100000000000001" customHeight="1">
      <c r="B31" s="58"/>
      <c r="C31" s="6"/>
      <c r="D31" s="57"/>
      <c r="E31" s="6"/>
      <c r="F31" s="14"/>
      <c r="G31" s="14"/>
      <c r="H31" s="81"/>
      <c r="I31" s="5"/>
      <c r="J31" s="64"/>
      <c r="K31" s="5"/>
      <c r="L31" s="65"/>
      <c r="M31" s="5"/>
      <c r="N31" s="64"/>
      <c r="O31" s="5"/>
      <c r="P31" s="65"/>
      <c r="Q31" s="5"/>
      <c r="R31" s="64"/>
      <c r="S31" s="5"/>
      <c r="T31" s="65"/>
      <c r="U31" s="5"/>
      <c r="V31" s="64"/>
      <c r="W31" s="5"/>
      <c r="X31" s="65"/>
      <c r="Y31" s="5"/>
      <c r="Z31" s="64"/>
      <c r="AA31" s="5"/>
      <c r="AB31" s="65"/>
      <c r="AC31" s="5"/>
      <c r="AD31" s="64"/>
      <c r="AE31" s="5"/>
      <c r="AF31" s="65"/>
      <c r="AG31" s="5"/>
      <c r="AH31" s="64"/>
      <c r="AI31" s="5"/>
      <c r="AJ31" s="65"/>
      <c r="AK31" s="5"/>
      <c r="AL31" s="64"/>
      <c r="AM31" s="5"/>
      <c r="AN31" s="65"/>
      <c r="AO31" s="5"/>
      <c r="AP31" s="64"/>
      <c r="AQ31" s="5"/>
      <c r="AR31" s="65"/>
      <c r="AS31" s="5"/>
      <c r="AT31" s="64"/>
      <c r="AU31" s="5"/>
      <c r="AV31" s="65"/>
      <c r="AW31" s="5"/>
      <c r="AX31" s="64"/>
      <c r="AY31" s="5"/>
      <c r="AZ31" s="65"/>
      <c r="BA31" s="5"/>
      <c r="BB31" s="64"/>
      <c r="BC31" s="5"/>
      <c r="BD31" s="65"/>
      <c r="BE31" s="5"/>
      <c r="BF31" s="64"/>
      <c r="BG31" s="5"/>
      <c r="BH31" s="65"/>
      <c r="BI31" s="5"/>
      <c r="BJ31" s="64"/>
      <c r="BK31" s="5"/>
      <c r="BL31" s="65"/>
      <c r="BM31" s="5"/>
      <c r="BN31" s="64"/>
      <c r="BO31" s="5"/>
      <c r="BP31" s="65"/>
      <c r="BQ31" s="5"/>
      <c r="BR31" s="64"/>
      <c r="BS31" s="5"/>
      <c r="BT31" s="65"/>
      <c r="BU31" s="5"/>
      <c r="BV31" s="64"/>
      <c r="BW31" s="5"/>
      <c r="BX31" s="65"/>
      <c r="BY31" s="5"/>
      <c r="BZ31" s="64"/>
      <c r="CA31" s="5"/>
      <c r="CB31" s="65"/>
      <c r="CC31" s="5"/>
      <c r="CD31" s="64"/>
      <c r="CE31" s="5"/>
      <c r="CF31" s="65"/>
      <c r="CG31" s="5"/>
      <c r="CH31" s="64"/>
      <c r="CI31" s="5"/>
      <c r="CJ31" s="65"/>
      <c r="CK31" s="5"/>
      <c r="CL31" s="64"/>
      <c r="CM31" s="5"/>
      <c r="CN31" s="65"/>
      <c r="CO31" s="5"/>
      <c r="CP31" s="64"/>
      <c r="CQ31" s="5"/>
      <c r="CR31" s="65"/>
      <c r="CS31" s="5"/>
      <c r="CT31" s="64"/>
      <c r="CU31" s="5"/>
      <c r="CV31" s="71"/>
      <c r="CX31" s="12"/>
      <c r="CY31" s="8"/>
      <c r="CZ31" s="7"/>
      <c r="DA31" s="8"/>
      <c r="DB31" s="7"/>
      <c r="DC31" s="8"/>
      <c r="DD31" s="7"/>
      <c r="DE31" s="8"/>
      <c r="DF31" s="12"/>
      <c r="DG31" s="8"/>
      <c r="DH31" s="7"/>
      <c r="DI31" s="8"/>
      <c r="DJ31" s="7"/>
      <c r="DK31" s="8"/>
      <c r="DL31" s="7"/>
      <c r="DM31" s="8"/>
      <c r="DN31" s="7"/>
      <c r="DO31" s="8"/>
      <c r="DP31" s="5"/>
      <c r="DQ31" s="13"/>
      <c r="DS31" s="12"/>
      <c r="DT31" s="8"/>
      <c r="DU31" s="7"/>
      <c r="DV31" s="8"/>
      <c r="DW31" s="7"/>
      <c r="DX31" s="8"/>
      <c r="DY31" s="7"/>
      <c r="DZ31" s="8"/>
      <c r="EA31" s="7"/>
      <c r="EB31" s="8"/>
      <c r="EC31" s="7"/>
      <c r="ED31" s="8"/>
      <c r="EE31" s="7"/>
      <c r="EF31" s="8"/>
      <c r="EG31" s="7"/>
      <c r="EH31" s="13"/>
      <c r="EJ31" s="15">
        <f t="shared" si="56"/>
        <v>0</v>
      </c>
      <c r="EK31" s="17">
        <f t="shared" si="56"/>
        <v>0</v>
      </c>
      <c r="EL31" s="17">
        <f t="shared" si="56"/>
        <v>0</v>
      </c>
      <c r="EM31" s="17">
        <f t="shared" si="56"/>
        <v>0</v>
      </c>
      <c r="EN31" s="17">
        <f t="shared" si="56"/>
        <v>0</v>
      </c>
      <c r="EO31" s="17">
        <f t="shared" si="56"/>
        <v>0</v>
      </c>
      <c r="EP31" s="17">
        <f t="shared" si="56"/>
        <v>0</v>
      </c>
      <c r="EQ31" s="17">
        <f t="shared" si="56"/>
        <v>0</v>
      </c>
      <c r="ER31" s="17">
        <f t="shared" si="56"/>
        <v>0</v>
      </c>
      <c r="ES31" s="17">
        <f t="shared" si="56"/>
        <v>0</v>
      </c>
      <c r="ET31" s="17">
        <f t="shared" si="56"/>
        <v>0</v>
      </c>
      <c r="EU31" s="17">
        <f t="shared" si="56"/>
        <v>0</v>
      </c>
      <c r="EV31" s="17">
        <f t="shared" si="56"/>
        <v>0</v>
      </c>
      <c r="EW31" s="17">
        <f t="shared" si="56"/>
        <v>0</v>
      </c>
      <c r="EX31" s="16">
        <f t="shared" si="56"/>
        <v>0</v>
      </c>
      <c r="EZ31" s="15">
        <f t="shared" si="36"/>
        <v>0</v>
      </c>
      <c r="FA31" s="16">
        <f t="shared" si="37"/>
        <v>0</v>
      </c>
      <c r="FB31" s="15">
        <f t="shared" si="38"/>
        <v>0</v>
      </c>
      <c r="FC31" s="16">
        <f t="shared" si="53"/>
        <v>0</v>
      </c>
      <c r="FD31" s="15">
        <f t="shared" si="40"/>
        <v>0</v>
      </c>
      <c r="FE31" s="16">
        <f t="shared" si="54"/>
        <v>0</v>
      </c>
      <c r="FG31" s="15">
        <f t="shared" si="42"/>
        <v>0</v>
      </c>
      <c r="FH31" s="16">
        <f t="shared" si="43"/>
        <v>0</v>
      </c>
      <c r="FJ31" s="15">
        <f t="shared" si="44"/>
        <v>0</v>
      </c>
      <c r="FK31" s="35" t="str" cm="1">
        <f t="array" ref="FK31">IFERROR(_xlfn.IFS($F31="Senior Staff",$FJ31*1250,$F31="Junior Staff",$FJ31*1000,$F31="Intern",0), "")</f>
        <v/>
      </c>
      <c r="FM31" s="36">
        <f t="shared" si="45"/>
        <v>0</v>
      </c>
      <c r="FN31" s="37">
        <f t="shared" si="46"/>
        <v>0</v>
      </c>
      <c r="FO31" s="38">
        <f t="shared" si="47"/>
        <v>0</v>
      </c>
      <c r="FP31" s="39">
        <f t="shared" si="48"/>
        <v>0</v>
      </c>
      <c r="FR31" s="44" t="str" cm="1">
        <f t="array" ref="FR31">IFERROR(_xlfn.IFS($F31="Senior Staff",3040,$F31="Junior Staff",1500,$F31="Intern",0),"")</f>
        <v/>
      </c>
      <c r="FS31" s="29">
        <f>SUM(ER31:$EV31)</f>
        <v>0</v>
      </c>
      <c r="FT31" s="34">
        <f t="shared" si="49"/>
        <v>0</v>
      </c>
      <c r="FV31" s="33"/>
      <c r="FW31" s="35">
        <f t="shared" si="50"/>
        <v>0</v>
      </c>
    </row>
    <row r="32" spans="2:179" ht="20.100000000000001" customHeight="1">
      <c r="B32" s="58"/>
      <c r="C32" s="6"/>
      <c r="D32" s="57"/>
      <c r="E32" s="6"/>
      <c r="F32" s="14"/>
      <c r="G32" s="14"/>
      <c r="H32" s="81"/>
      <c r="I32" s="5"/>
      <c r="J32" s="64"/>
      <c r="K32" s="5"/>
      <c r="L32" s="65"/>
      <c r="M32" s="5"/>
      <c r="N32" s="64"/>
      <c r="O32" s="5"/>
      <c r="P32" s="65"/>
      <c r="Q32" s="5"/>
      <c r="R32" s="64"/>
      <c r="S32" s="5"/>
      <c r="T32" s="65"/>
      <c r="U32" s="5"/>
      <c r="V32" s="64"/>
      <c r="W32" s="5"/>
      <c r="X32" s="65"/>
      <c r="Y32" s="5"/>
      <c r="Z32" s="64"/>
      <c r="AA32" s="5"/>
      <c r="AB32" s="65"/>
      <c r="AC32" s="5"/>
      <c r="AD32" s="64"/>
      <c r="AE32" s="5"/>
      <c r="AF32" s="65"/>
      <c r="AG32" s="5"/>
      <c r="AH32" s="64"/>
      <c r="AI32" s="5"/>
      <c r="AJ32" s="65"/>
      <c r="AK32" s="5"/>
      <c r="AL32" s="64"/>
      <c r="AM32" s="5"/>
      <c r="AN32" s="65"/>
      <c r="AO32" s="5"/>
      <c r="AP32" s="64"/>
      <c r="AQ32" s="5"/>
      <c r="AR32" s="65"/>
      <c r="AS32" s="5"/>
      <c r="AT32" s="64"/>
      <c r="AU32" s="5"/>
      <c r="AV32" s="65"/>
      <c r="AW32" s="5"/>
      <c r="AX32" s="64"/>
      <c r="AY32" s="5"/>
      <c r="AZ32" s="65"/>
      <c r="BA32" s="5"/>
      <c r="BB32" s="64"/>
      <c r="BC32" s="5"/>
      <c r="BD32" s="65"/>
      <c r="BE32" s="5"/>
      <c r="BF32" s="64"/>
      <c r="BG32" s="5"/>
      <c r="BH32" s="65"/>
      <c r="BI32" s="5"/>
      <c r="BJ32" s="64"/>
      <c r="BK32" s="5"/>
      <c r="BL32" s="65"/>
      <c r="BM32" s="5"/>
      <c r="BN32" s="64"/>
      <c r="BO32" s="5"/>
      <c r="BP32" s="65"/>
      <c r="BQ32" s="5"/>
      <c r="BR32" s="64"/>
      <c r="BS32" s="5"/>
      <c r="BT32" s="65"/>
      <c r="BU32" s="5"/>
      <c r="BV32" s="64"/>
      <c r="BW32" s="5"/>
      <c r="BX32" s="65"/>
      <c r="BY32" s="5"/>
      <c r="BZ32" s="64"/>
      <c r="CA32" s="5"/>
      <c r="CB32" s="65"/>
      <c r="CC32" s="5"/>
      <c r="CD32" s="64"/>
      <c r="CE32" s="5"/>
      <c r="CF32" s="65"/>
      <c r="CG32" s="5"/>
      <c r="CH32" s="64"/>
      <c r="CI32" s="5"/>
      <c r="CJ32" s="65"/>
      <c r="CK32" s="5"/>
      <c r="CL32" s="64"/>
      <c r="CM32" s="5"/>
      <c r="CN32" s="65"/>
      <c r="CO32" s="5"/>
      <c r="CP32" s="64"/>
      <c r="CQ32" s="5"/>
      <c r="CR32" s="65"/>
      <c r="CS32" s="5"/>
      <c r="CT32" s="64"/>
      <c r="CU32" s="5"/>
      <c r="CV32" s="71"/>
      <c r="CX32" s="12"/>
      <c r="CY32" s="8"/>
      <c r="CZ32" s="7"/>
      <c r="DA32" s="8"/>
      <c r="DB32" s="7"/>
      <c r="DC32" s="8"/>
      <c r="DD32" s="7"/>
      <c r="DE32" s="8"/>
      <c r="DF32" s="12"/>
      <c r="DG32" s="8"/>
      <c r="DH32" s="7"/>
      <c r="DI32" s="8"/>
      <c r="DJ32" s="7"/>
      <c r="DK32" s="8"/>
      <c r="DL32" s="7"/>
      <c r="DM32" s="8"/>
      <c r="DN32" s="7"/>
      <c r="DO32" s="8"/>
      <c r="DP32" s="5"/>
      <c r="DQ32" s="13"/>
      <c r="DS32" s="12"/>
      <c r="DT32" s="8"/>
      <c r="DU32" s="7"/>
      <c r="DV32" s="8"/>
      <c r="DW32" s="7"/>
      <c r="DX32" s="8"/>
      <c r="DY32" s="7"/>
      <c r="DZ32" s="8"/>
      <c r="EA32" s="7"/>
      <c r="EB32" s="8"/>
      <c r="EC32" s="7"/>
      <c r="ED32" s="8"/>
      <c r="EE32" s="7"/>
      <c r="EF32" s="8"/>
      <c r="EG32" s="7"/>
      <c r="EH32" s="13"/>
      <c r="EJ32" s="15">
        <f t="shared" si="56"/>
        <v>0</v>
      </c>
      <c r="EK32" s="17">
        <f t="shared" si="56"/>
        <v>0</v>
      </c>
      <c r="EL32" s="17">
        <f t="shared" si="56"/>
        <v>0</v>
      </c>
      <c r="EM32" s="17">
        <f t="shared" si="56"/>
        <v>0</v>
      </c>
      <c r="EN32" s="17">
        <f t="shared" si="56"/>
        <v>0</v>
      </c>
      <c r="EO32" s="17">
        <f t="shared" si="56"/>
        <v>0</v>
      </c>
      <c r="EP32" s="17">
        <f t="shared" si="56"/>
        <v>0</v>
      </c>
      <c r="EQ32" s="17">
        <f t="shared" si="56"/>
        <v>0</v>
      </c>
      <c r="ER32" s="17">
        <f t="shared" si="56"/>
        <v>0</v>
      </c>
      <c r="ES32" s="17">
        <f t="shared" si="56"/>
        <v>0</v>
      </c>
      <c r="ET32" s="17">
        <f t="shared" si="56"/>
        <v>0</v>
      </c>
      <c r="EU32" s="17">
        <f t="shared" si="56"/>
        <v>0</v>
      </c>
      <c r="EV32" s="17">
        <f t="shared" si="56"/>
        <v>0</v>
      </c>
      <c r="EW32" s="17">
        <f t="shared" si="56"/>
        <v>0</v>
      </c>
      <c r="EX32" s="16">
        <f t="shared" si="56"/>
        <v>0</v>
      </c>
      <c r="EZ32" s="15">
        <f t="shared" si="36"/>
        <v>0</v>
      </c>
      <c r="FA32" s="16">
        <f t="shared" si="37"/>
        <v>0</v>
      </c>
      <c r="FB32" s="15">
        <f t="shared" si="38"/>
        <v>0</v>
      </c>
      <c r="FC32" s="16">
        <f t="shared" si="53"/>
        <v>0</v>
      </c>
      <c r="FD32" s="15">
        <f t="shared" si="40"/>
        <v>0</v>
      </c>
      <c r="FE32" s="16">
        <f t="shared" si="54"/>
        <v>0</v>
      </c>
      <c r="FG32" s="15">
        <f t="shared" si="42"/>
        <v>0</v>
      </c>
      <c r="FH32" s="16">
        <f t="shared" si="43"/>
        <v>0</v>
      </c>
      <c r="FJ32" s="15">
        <f t="shared" si="44"/>
        <v>0</v>
      </c>
      <c r="FK32" s="35" t="str" cm="1">
        <f t="array" ref="FK32">IFERROR(_xlfn.IFS($F32="Senior Staff",$FJ32*1250,$F32="Junior Staff",$FJ32*1000,$F32="Intern",0), "")</f>
        <v/>
      </c>
      <c r="FM32" s="36">
        <f t="shared" si="45"/>
        <v>0</v>
      </c>
      <c r="FN32" s="37">
        <f t="shared" si="46"/>
        <v>0</v>
      </c>
      <c r="FO32" s="38">
        <f t="shared" si="47"/>
        <v>0</v>
      </c>
      <c r="FP32" s="39">
        <f t="shared" si="48"/>
        <v>0</v>
      </c>
      <c r="FR32" s="44" t="str" cm="1">
        <f t="array" ref="FR32">IFERROR(_xlfn.IFS($F32="Senior Staff",3040,$F32="Junior Staff",1500,$F32="Intern",0),"")</f>
        <v/>
      </c>
      <c r="FS32" s="29">
        <f>SUM(ER32:$EV32)</f>
        <v>0</v>
      </c>
      <c r="FT32" s="34">
        <f t="shared" si="49"/>
        <v>0</v>
      </c>
      <c r="FV32" s="33"/>
      <c r="FW32" s="35">
        <f t="shared" si="50"/>
        <v>0</v>
      </c>
    </row>
  </sheetData>
  <mergeCells count="100">
    <mergeCell ref="CK3:CN3"/>
    <mergeCell ref="CO4:CR4"/>
    <mergeCell ref="CS3:CV3"/>
    <mergeCell ref="CS4:CV4"/>
    <mergeCell ref="FJ3:FK3"/>
    <mergeCell ref="EZ3:FA3"/>
    <mergeCell ref="FB3:FC3"/>
    <mergeCell ref="FD3:FE3"/>
    <mergeCell ref="CZ3:DA3"/>
    <mergeCell ref="CZ4:DA4"/>
    <mergeCell ref="DB3:DC3"/>
    <mergeCell ref="DF4:DG4"/>
    <mergeCell ref="EC4:ED4"/>
    <mergeCell ref="DP3:DQ3"/>
    <mergeCell ref="DN4:DO4"/>
    <mergeCell ref="DP4:DQ4"/>
    <mergeCell ref="FG3:FH3"/>
    <mergeCell ref="FR3:FT3"/>
    <mergeCell ref="FV4:FV5"/>
    <mergeCell ref="FW4:FW5"/>
    <mergeCell ref="FV3:FW3"/>
    <mergeCell ref="FM3:FP3"/>
    <mergeCell ref="FP4:FP5"/>
    <mergeCell ref="AW3:AZ3"/>
    <mergeCell ref="I4:L4"/>
    <mergeCell ref="I3:L3"/>
    <mergeCell ref="M3:P3"/>
    <mergeCell ref="Q3:T3"/>
    <mergeCell ref="U3:X3"/>
    <mergeCell ref="Y4:AB4"/>
    <mergeCell ref="AO4:AR4"/>
    <mergeCell ref="AS4:AV4"/>
    <mergeCell ref="AW4:AZ4"/>
    <mergeCell ref="U4:X4"/>
    <mergeCell ref="BA4:BD4"/>
    <mergeCell ref="CX4:CY4"/>
    <mergeCell ref="CX3:CY3"/>
    <mergeCell ref="CO3:CR3"/>
    <mergeCell ref="B3:B5"/>
    <mergeCell ref="CC4:CF4"/>
    <mergeCell ref="CG4:CJ4"/>
    <mergeCell ref="CK4:CN4"/>
    <mergeCell ref="BE4:BH4"/>
    <mergeCell ref="BI4:BL4"/>
    <mergeCell ref="BM4:BP4"/>
    <mergeCell ref="BQ4:BT4"/>
    <mergeCell ref="BU4:BX4"/>
    <mergeCell ref="BY4:CB4"/>
    <mergeCell ref="AG4:AJ4"/>
    <mergeCell ref="AK4:AN4"/>
    <mergeCell ref="BA3:BD3"/>
    <mergeCell ref="C3:C5"/>
    <mergeCell ref="D3:D5"/>
    <mergeCell ref="E3:E5"/>
    <mergeCell ref="G3:G5"/>
    <mergeCell ref="AS3:AV3"/>
    <mergeCell ref="AC4:AF4"/>
    <mergeCell ref="Y3:AB3"/>
    <mergeCell ref="AG3:AJ3"/>
    <mergeCell ref="AK3:AN3"/>
    <mergeCell ref="AO3:AR3"/>
    <mergeCell ref="H3:H5"/>
    <mergeCell ref="F3:F5"/>
    <mergeCell ref="AC3:AF3"/>
    <mergeCell ref="M4:P4"/>
    <mergeCell ref="Q4:T4"/>
    <mergeCell ref="CC3:CF3"/>
    <mergeCell ref="CG3:CJ3"/>
    <mergeCell ref="BE3:BH3"/>
    <mergeCell ref="BI3:BL3"/>
    <mergeCell ref="BM3:BP3"/>
    <mergeCell ref="BQ3:BT3"/>
    <mergeCell ref="BU3:BX3"/>
    <mergeCell ref="BY3:CB3"/>
    <mergeCell ref="DJ3:DK3"/>
    <mergeCell ref="DL3:DM3"/>
    <mergeCell ref="DJ4:DK4"/>
    <mergeCell ref="DL4:DM4"/>
    <mergeCell ref="DN3:DO3"/>
    <mergeCell ref="DD3:DE3"/>
    <mergeCell ref="DB4:DC4"/>
    <mergeCell ref="DD4:DE4"/>
    <mergeCell ref="DF3:DG3"/>
    <mergeCell ref="DH3:DI3"/>
    <mergeCell ref="DH4:DI4"/>
    <mergeCell ref="DU3:DV3"/>
    <mergeCell ref="EE3:EF3"/>
    <mergeCell ref="EG3:EH3"/>
    <mergeCell ref="DS4:DT4"/>
    <mergeCell ref="DU4:DV4"/>
    <mergeCell ref="EE4:EF4"/>
    <mergeCell ref="EG4:EH4"/>
    <mergeCell ref="DW3:DX3"/>
    <mergeCell ref="DY3:DZ3"/>
    <mergeCell ref="DW4:DX4"/>
    <mergeCell ref="DY4:DZ4"/>
    <mergeCell ref="EA3:EB3"/>
    <mergeCell ref="EC3:ED3"/>
    <mergeCell ref="EA4:EB4"/>
    <mergeCell ref="DS3:DT3"/>
  </mergeCells>
  <phoneticPr fontId="6" type="noConversion"/>
  <dataValidations count="7">
    <dataValidation type="list" allowBlank="1" showInputMessage="1" showErrorMessage="1" sqref="S6:S32 BC6:BC32 AI6:AI32 AQ6:AQ32 CQ6:CQ32 AM6:AM32 W6:W32 AE6:AE32 AA6:AA32 CI6:CI32 CU6:CU32 BW6:BW32 CM6:CM32 BG6:BG32 AU6:AU32 BK6:BK32 BO6:BO32 BS6:BS32 O6:O32 CA6:CA32 CE6:CE32 AY6:AY32 K6:K32" xr:uid="{4884A693-370E-4E15-AB13-7C100E1626F5}">
      <formula1>"OT"</formula1>
    </dataValidation>
    <dataValidation type="list" allowBlank="1" showInputMessage="1" showErrorMessage="1" sqref="CX6:CX32 DJ6:DJ32 DD6:DD32 DB6:DB32 DH6:DH32 CZ6:CZ32 DF6:DF32 DN6:DN32 DP6:DP32 DL6:DL32" xr:uid="{65BD6469-93D7-4EBE-BE15-3E7337A3F607}">
      <formula1>"WOT"</formula1>
    </dataValidation>
    <dataValidation type="list" allowBlank="1" showInputMessage="1" showErrorMessage="1" sqref="DU6:DU32 DW6:DW32 DY6:DY32 EA6:EA32 EC6:EC32 EE6:EE32 DS6:DS32 EG6:EG32" xr:uid="{D84D2CB9-A459-4D68-8E4C-29F9B014EB22}">
      <formula1>"PH"</formula1>
    </dataValidation>
    <dataValidation type="list" allowBlank="1" showInputMessage="1" showErrorMessage="1" sqref="F6:F32" xr:uid="{BA97A4FC-F2A5-46A5-9295-0E56B0880257}">
      <formula1>"Senior Staff, Junior Staff, Temporary Staff, Intern"</formula1>
    </dataValidation>
    <dataValidation type="list" allowBlank="1" showInputMessage="1" showErrorMessage="1" sqref="H6:H32" xr:uid="{7CB36DAC-B414-4856-841C-38C70BAC9ABB}">
      <formula1>"ASL"</formula1>
    </dataValidation>
    <dataValidation type="list" allowBlank="1" showInputMessage="1" showErrorMessage="1" sqref="G6:G32" xr:uid="{B55C1CFD-E3DC-46F1-AE8A-1F5E9C2975C9}">
      <formula1>"54 Glover,A&amp;A Tower, A&amp;A Tower AMED,Banana Villa,Bijou,Batching Plant,Head Office,Hive,Jakande (Oasis),Phoenix Tower,Phoenix Rising,The Residences,Shell,Shell AMED"</formula1>
    </dataValidation>
    <dataValidation type="list" allowBlank="1" showInputMessage="1" showErrorMessage="1" sqref="AS6:AS32 M6:M32 AK6:AK32 AW6:AW32 AC6:AC32 U6:U32 Y6:Y32 Q6:Q32 I6:I32 AG6:AG32 AO6:AO32 CK6:CK32 CO6:CO32 CG6:CG32 CC6:CC32 BQ6:BQ32 CS6:CS32 BA6:BA32 BE6:BE32 BM6:BM32 BY6:BY32 BU6:BU32 BI6:BI32" xr:uid="{BB58204E-A92A-4FCB-9305-38BA7BC2C700}">
      <formula1>$EJ$5:$EX$5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807F-A23F-4450-B503-B90580603123}">
  <sheetPr>
    <tabColor rgb="FF8A0005"/>
  </sheetPr>
  <dimension ref="A1:AC29"/>
  <sheetViews>
    <sheetView showGridLines="0" tabSelected="1" zoomScale="108" zoomScaleNormal="108" workbookViewId="0">
      <pane xSplit="3" topLeftCell="D1" activePane="topRight" state="frozen"/>
      <selection pane="topRight" activeCell="E17" sqref="E17"/>
    </sheetView>
  </sheetViews>
  <sheetFormatPr defaultColWidth="8.7421875" defaultRowHeight="20.100000000000001" customHeight="1"/>
  <cols>
    <col min="1" max="1" width="4.3046875" style="40" customWidth="1"/>
    <col min="2" max="2" width="7.6640625" style="40" customWidth="1"/>
    <col min="3" max="3" width="21.25390625" style="61" customWidth="1"/>
    <col min="4" max="4" width="11.1640625" style="40" customWidth="1"/>
    <col min="5" max="5" width="15.46875" style="40" bestFit="1" customWidth="1"/>
    <col min="6" max="6" width="8.7421875" style="40" customWidth="1"/>
    <col min="7" max="7" width="9.953125" style="40" customWidth="1"/>
    <col min="8" max="8" width="9.01171875" style="40" customWidth="1"/>
    <col min="9" max="10" width="8.7421875" style="40"/>
    <col min="11" max="11" width="8.7421875" style="40" customWidth="1"/>
    <col min="12" max="27" width="8.7421875" style="40"/>
    <col min="28" max="29" width="9.68359375" style="40" customWidth="1"/>
    <col min="30" max="16384" width="8.7421875" style="40"/>
  </cols>
  <sheetData>
    <row r="1" spans="1:29" ht="57.75" customHeight="1" thickBot="1">
      <c r="C1" s="59" t="s">
        <v>119</v>
      </c>
    </row>
    <row r="2" spans="1:29" ht="50.25" thickBot="1">
      <c r="A2" s="52" t="s">
        <v>71</v>
      </c>
      <c r="B2" s="53" t="s">
        <v>0</v>
      </c>
      <c r="C2" s="53" t="s">
        <v>36</v>
      </c>
      <c r="D2" s="53" t="s">
        <v>1</v>
      </c>
      <c r="E2" s="53" t="s">
        <v>2</v>
      </c>
      <c r="F2" s="53" t="s">
        <v>50</v>
      </c>
      <c r="G2" s="53" t="s">
        <v>3</v>
      </c>
      <c r="H2" s="54" t="s">
        <v>37</v>
      </c>
      <c r="I2" s="79" t="s">
        <v>82</v>
      </c>
      <c r="J2" s="54" t="s">
        <v>72</v>
      </c>
      <c r="K2" s="52" t="s">
        <v>73</v>
      </c>
      <c r="L2" s="53" t="s">
        <v>74</v>
      </c>
      <c r="M2" s="55" t="s">
        <v>75</v>
      </c>
      <c r="N2" s="52" t="s">
        <v>76</v>
      </c>
      <c r="O2" s="53" t="s">
        <v>77</v>
      </c>
      <c r="P2" s="53" t="s">
        <v>78</v>
      </c>
      <c r="Q2" s="53" t="s">
        <v>79</v>
      </c>
      <c r="R2" s="54" t="s">
        <v>80</v>
      </c>
      <c r="S2" s="78" t="s">
        <v>81</v>
      </c>
      <c r="T2" s="52" t="s">
        <v>84</v>
      </c>
      <c r="U2" s="53" t="s">
        <v>85</v>
      </c>
      <c r="V2" s="53" t="s">
        <v>83</v>
      </c>
      <c r="W2" s="53" t="s">
        <v>116</v>
      </c>
      <c r="X2" s="53" t="s">
        <v>86</v>
      </c>
      <c r="Y2" s="54" t="s">
        <v>87</v>
      </c>
      <c r="Z2" s="76" t="s">
        <v>88</v>
      </c>
      <c r="AA2" s="77" t="s">
        <v>89</v>
      </c>
      <c r="AB2" s="52" t="s">
        <v>90</v>
      </c>
      <c r="AC2" s="54" t="s">
        <v>91</v>
      </c>
    </row>
    <row r="3" spans="1:29" ht="20.100000000000001" customHeight="1">
      <c r="A3" s="41">
        <v>1</v>
      </c>
      <c r="B3" s="47" t="str">
        <f>IF('Attendance Sheet'!$B6="","",'Attendance Sheet'!$B6)</f>
        <v/>
      </c>
      <c r="C3" s="60" t="str">
        <f>IF('Attendance Sheet'!$C6="","",'Attendance Sheet'!$C6)</f>
        <v/>
      </c>
      <c r="D3" s="56" t="str">
        <f>IF('Attendance Sheet'!$D6="","",'Attendance Sheet'!$D6)</f>
        <v/>
      </c>
      <c r="E3" s="47" t="str">
        <f>IF('Attendance Sheet'!$E6="","",'Attendance Sheet'!$E6)</f>
        <v/>
      </c>
      <c r="F3" s="47" t="str">
        <f>IF('Attendance Sheet'!$F6="","",'Attendance Sheet'!$F6)</f>
        <v/>
      </c>
      <c r="G3" s="47" t="str">
        <f>IF('Attendance Sheet'!$G6="","",'Attendance Sheet'!$G6)</f>
        <v/>
      </c>
      <c r="H3" s="48" t="str">
        <f>IF('Attendance Sheet'!$H6="","",'Attendance Sheet'!$H6)</f>
        <v/>
      </c>
      <c r="I3" s="72">
        <f>IFERROR('Attendance Sheet'!$FV6,"")</f>
        <v>0</v>
      </c>
      <c r="J3" s="49">
        <f>IFERROR('Attendance Sheet'!$FW6,"")</f>
        <v>0</v>
      </c>
      <c r="K3" s="50">
        <f>'Attendance Sheet'!$FA6</f>
        <v>0</v>
      </c>
      <c r="L3" s="47">
        <f>'Attendance Sheet'!$FC6</f>
        <v>0</v>
      </c>
      <c r="M3" s="51">
        <f>'Attendance Sheet'!$FE6</f>
        <v>0</v>
      </c>
      <c r="N3" s="46">
        <f>'Attendance Sheet'!$FP6</f>
        <v>0</v>
      </c>
      <c r="O3" s="43"/>
      <c r="P3" s="43"/>
      <c r="Q3" s="45" t="str">
        <f>IFERROR('Attendance Sheet'!$FK6,"")</f>
        <v/>
      </c>
      <c r="R3" s="42"/>
      <c r="S3" s="73">
        <f t="shared" ref="S3" si="0">SUM(I3,$N3:$R3)</f>
        <v>0</v>
      </c>
      <c r="T3" s="46">
        <f>'Attendance Sheet'!$FT6</f>
        <v>0</v>
      </c>
      <c r="U3" s="43"/>
      <c r="V3" s="45" t="str">
        <f>'Attendance Sheet'!$FR6</f>
        <v/>
      </c>
      <c r="W3" s="45"/>
      <c r="X3" s="43"/>
      <c r="Y3" s="42"/>
      <c r="Z3" s="74">
        <f t="shared" ref="Z3:Z29" si="1">SUM($T3:$Y3)</f>
        <v>0</v>
      </c>
      <c r="AA3" s="75">
        <f t="shared" ref="AA3:AA29" si="2">IFERROR($S3-$Z3,"")</f>
        <v>0</v>
      </c>
      <c r="AB3" s="41"/>
      <c r="AC3" s="62"/>
    </row>
    <row r="4" spans="1:29" ht="20.100000000000001" customHeight="1">
      <c r="A4" s="41">
        <v>2</v>
      </c>
      <c r="B4" s="47" t="str">
        <f>IF('Attendance Sheet'!$B7="","",'Attendance Sheet'!$B7)</f>
        <v/>
      </c>
      <c r="C4" s="60" t="str">
        <f>IF('Attendance Sheet'!$C7="","",'Attendance Sheet'!$C7)</f>
        <v/>
      </c>
      <c r="D4" s="56" t="str">
        <f>IF('Attendance Sheet'!$D7="","",'Attendance Sheet'!$D7)</f>
        <v/>
      </c>
      <c r="E4" s="47" t="str">
        <f>IF('Attendance Sheet'!$E7="","",'Attendance Sheet'!$E7)</f>
        <v/>
      </c>
      <c r="F4" s="47" t="str">
        <f>IF('Attendance Sheet'!$F7="","",'Attendance Sheet'!$F7)</f>
        <v/>
      </c>
      <c r="G4" s="47" t="str">
        <f>IF('Attendance Sheet'!$G7="","",'Attendance Sheet'!$G7)</f>
        <v/>
      </c>
      <c r="H4" s="48" t="str">
        <f>IF('Attendance Sheet'!$H7="","",'Attendance Sheet'!$H7)</f>
        <v/>
      </c>
      <c r="I4" s="72">
        <f>IFERROR('Attendance Sheet'!$FV7,"")</f>
        <v>0</v>
      </c>
      <c r="J4" s="49">
        <f>IFERROR('Attendance Sheet'!$FW7,"")</f>
        <v>0</v>
      </c>
      <c r="K4" s="50">
        <f>'Attendance Sheet'!$FA7</f>
        <v>0</v>
      </c>
      <c r="L4" s="47">
        <f>'Attendance Sheet'!$FC7</f>
        <v>0</v>
      </c>
      <c r="M4" s="51">
        <f>'Attendance Sheet'!$FE7</f>
        <v>0</v>
      </c>
      <c r="N4" s="46">
        <f>'Attendance Sheet'!$FP7</f>
        <v>0</v>
      </c>
      <c r="O4" s="43"/>
      <c r="P4" s="43"/>
      <c r="Q4" s="45" t="str">
        <f>IFERROR('Attendance Sheet'!$FK7,"")</f>
        <v/>
      </c>
      <c r="R4" s="42"/>
      <c r="S4" s="73">
        <f t="shared" ref="S4:S9" si="3">SUM(I4,$N4:$R4)</f>
        <v>0</v>
      </c>
      <c r="T4" s="46">
        <f>'Attendance Sheet'!$FT7</f>
        <v>0</v>
      </c>
      <c r="U4" s="43"/>
      <c r="V4" s="45" t="str">
        <f>'Attendance Sheet'!$FR7</f>
        <v/>
      </c>
      <c r="W4" s="45"/>
      <c r="X4" s="43"/>
      <c r="Y4" s="42"/>
      <c r="Z4" s="74">
        <f t="shared" si="1"/>
        <v>0</v>
      </c>
      <c r="AA4" s="75">
        <f t="shared" si="2"/>
        <v>0</v>
      </c>
      <c r="AB4" s="41"/>
      <c r="AC4" s="62"/>
    </row>
    <row r="5" spans="1:29" ht="20.100000000000001" customHeight="1">
      <c r="A5" s="41">
        <v>3</v>
      </c>
      <c r="B5" s="47" t="str">
        <f>IF('Attendance Sheet'!$B8="","",'Attendance Sheet'!$B8)</f>
        <v/>
      </c>
      <c r="C5" s="60" t="str">
        <f>IF('Attendance Sheet'!$C8="","",'Attendance Sheet'!$C8)</f>
        <v/>
      </c>
      <c r="D5" s="56" t="str">
        <f>IF('Attendance Sheet'!$D8="","",'Attendance Sheet'!$D8)</f>
        <v/>
      </c>
      <c r="E5" s="47" t="str">
        <f>IF('Attendance Sheet'!$E8="","",'Attendance Sheet'!$E8)</f>
        <v/>
      </c>
      <c r="F5" s="47" t="str">
        <f>IF('Attendance Sheet'!$F8="","",'Attendance Sheet'!$F8)</f>
        <v/>
      </c>
      <c r="G5" s="47" t="str">
        <f>IF('Attendance Sheet'!$G8="","",'Attendance Sheet'!$G8)</f>
        <v/>
      </c>
      <c r="H5" s="48" t="str">
        <f>IF('Attendance Sheet'!$H8="","",'Attendance Sheet'!$H8)</f>
        <v/>
      </c>
      <c r="I5" s="72">
        <f>IFERROR('Attendance Sheet'!$FV8,"")</f>
        <v>0</v>
      </c>
      <c r="J5" s="49">
        <f>IFERROR('Attendance Sheet'!$FW8,"")</f>
        <v>0</v>
      </c>
      <c r="K5" s="50">
        <f>'Attendance Sheet'!$FA8</f>
        <v>0</v>
      </c>
      <c r="L5" s="47">
        <f>'Attendance Sheet'!$FC8</f>
        <v>0</v>
      </c>
      <c r="M5" s="51">
        <f>'Attendance Sheet'!$FE8</f>
        <v>0</v>
      </c>
      <c r="N5" s="46">
        <f>'Attendance Sheet'!$FP8</f>
        <v>0</v>
      </c>
      <c r="O5" s="43"/>
      <c r="P5" s="43"/>
      <c r="Q5" s="45" t="str">
        <f>IFERROR('Attendance Sheet'!$FK8,"")</f>
        <v/>
      </c>
      <c r="R5" s="42"/>
      <c r="S5" s="73">
        <f t="shared" si="3"/>
        <v>0</v>
      </c>
      <c r="T5" s="46">
        <f>'Attendance Sheet'!$FT8</f>
        <v>0</v>
      </c>
      <c r="U5" s="43"/>
      <c r="V5" s="45" t="str">
        <f>'Attendance Sheet'!$FR8</f>
        <v/>
      </c>
      <c r="W5" s="45"/>
      <c r="X5" s="43"/>
      <c r="Y5" s="42"/>
      <c r="Z5" s="74">
        <f t="shared" si="1"/>
        <v>0</v>
      </c>
      <c r="AA5" s="75">
        <f t="shared" si="2"/>
        <v>0</v>
      </c>
      <c r="AB5" s="41"/>
      <c r="AC5" s="62"/>
    </row>
    <row r="6" spans="1:29" ht="20.100000000000001" customHeight="1">
      <c r="A6" s="41">
        <v>4</v>
      </c>
      <c r="B6" s="47" t="str">
        <f>IF('Attendance Sheet'!$B9="","",'Attendance Sheet'!$B9)</f>
        <v/>
      </c>
      <c r="C6" s="60" t="str">
        <f>IF('Attendance Sheet'!$C9="","",'Attendance Sheet'!$C9)</f>
        <v/>
      </c>
      <c r="D6" s="56" t="str">
        <f>IF('Attendance Sheet'!$D9="","",'Attendance Sheet'!$D9)</f>
        <v/>
      </c>
      <c r="E6" s="47" t="str">
        <f>IF('Attendance Sheet'!$E9="","",'Attendance Sheet'!$E9)</f>
        <v/>
      </c>
      <c r="F6" s="47" t="str">
        <f>IF('Attendance Sheet'!$F9="","",'Attendance Sheet'!$F9)</f>
        <v/>
      </c>
      <c r="G6" s="47" t="str">
        <f>IF('Attendance Sheet'!$G9="","",'Attendance Sheet'!$G9)</f>
        <v/>
      </c>
      <c r="H6" s="48" t="str">
        <f>IF('Attendance Sheet'!$H9="","",'Attendance Sheet'!$H9)</f>
        <v/>
      </c>
      <c r="I6" s="72">
        <f>IFERROR('Attendance Sheet'!$FV9,"")</f>
        <v>0</v>
      </c>
      <c r="J6" s="49">
        <f>IFERROR('Attendance Sheet'!$FW9,"")</f>
        <v>0</v>
      </c>
      <c r="K6" s="50">
        <f>'Attendance Sheet'!$FA9</f>
        <v>0</v>
      </c>
      <c r="L6" s="47">
        <f>'Attendance Sheet'!$FC9</f>
        <v>0</v>
      </c>
      <c r="M6" s="51">
        <f>'Attendance Sheet'!$FE9</f>
        <v>0</v>
      </c>
      <c r="N6" s="46">
        <f>'Attendance Sheet'!$FP9</f>
        <v>0</v>
      </c>
      <c r="O6" s="43"/>
      <c r="P6" s="43"/>
      <c r="Q6" s="45"/>
      <c r="R6" s="42"/>
      <c r="S6" s="73">
        <f t="shared" si="3"/>
        <v>0</v>
      </c>
      <c r="T6" s="46">
        <f>'Attendance Sheet'!$FT9</f>
        <v>0</v>
      </c>
      <c r="U6" s="43"/>
      <c r="V6" s="45" t="str">
        <f>'Attendance Sheet'!$FR9</f>
        <v/>
      </c>
      <c r="W6" s="45"/>
      <c r="X6" s="43"/>
      <c r="Y6" s="42"/>
      <c r="Z6" s="74">
        <f t="shared" si="1"/>
        <v>0</v>
      </c>
      <c r="AA6" s="75">
        <f t="shared" si="2"/>
        <v>0</v>
      </c>
      <c r="AB6" s="41"/>
      <c r="AC6" s="62"/>
    </row>
    <row r="7" spans="1:29" ht="20.100000000000001" customHeight="1">
      <c r="A7" s="41">
        <v>5</v>
      </c>
      <c r="B7" s="47" t="str">
        <f>IF('Attendance Sheet'!$B10="","",'Attendance Sheet'!$B10)</f>
        <v/>
      </c>
      <c r="C7" s="60" t="str">
        <f>IF('Attendance Sheet'!$C10="","",'Attendance Sheet'!$C10)</f>
        <v/>
      </c>
      <c r="D7" s="56" t="str">
        <f>IF('Attendance Sheet'!$D10="","",'Attendance Sheet'!$D10)</f>
        <v/>
      </c>
      <c r="E7" s="47" t="str">
        <f>IF('Attendance Sheet'!$E10="","",'Attendance Sheet'!$E10)</f>
        <v/>
      </c>
      <c r="F7" s="47" t="str">
        <f>IF('Attendance Sheet'!$F10="","",'Attendance Sheet'!$F10)</f>
        <v/>
      </c>
      <c r="G7" s="47" t="str">
        <f>IF('Attendance Sheet'!$G10="","",'Attendance Sheet'!$G10)</f>
        <v/>
      </c>
      <c r="H7" s="48" t="str">
        <f>IF('Attendance Sheet'!$H10="","",'Attendance Sheet'!$H10)</f>
        <v/>
      </c>
      <c r="I7" s="72">
        <f>IFERROR('Attendance Sheet'!$FV10,"")</f>
        <v>0</v>
      </c>
      <c r="J7" s="49">
        <f>IFERROR('Attendance Sheet'!$FW10,"")</f>
        <v>0</v>
      </c>
      <c r="K7" s="50">
        <f>'Attendance Sheet'!$FA10</f>
        <v>0</v>
      </c>
      <c r="L7" s="47">
        <f>'Attendance Sheet'!$FC10</f>
        <v>0</v>
      </c>
      <c r="M7" s="51">
        <f>'Attendance Sheet'!$FE10</f>
        <v>0</v>
      </c>
      <c r="N7" s="46">
        <f>'Attendance Sheet'!$FP10</f>
        <v>0</v>
      </c>
      <c r="O7" s="43"/>
      <c r="P7" s="43"/>
      <c r="Q7" s="45"/>
      <c r="R7" s="42"/>
      <c r="S7" s="73">
        <f t="shared" si="3"/>
        <v>0</v>
      </c>
      <c r="T7" s="46">
        <f>'Attendance Sheet'!$FT10</f>
        <v>0</v>
      </c>
      <c r="U7" s="43"/>
      <c r="V7" s="45" t="str">
        <f>'Attendance Sheet'!$FR10</f>
        <v/>
      </c>
      <c r="W7" s="45"/>
      <c r="X7" s="43"/>
      <c r="Y7" s="42"/>
      <c r="Z7" s="74">
        <f t="shared" si="1"/>
        <v>0</v>
      </c>
      <c r="AA7" s="75">
        <f t="shared" si="2"/>
        <v>0</v>
      </c>
      <c r="AB7" s="41"/>
      <c r="AC7" s="62"/>
    </row>
    <row r="8" spans="1:29" ht="20.100000000000001" customHeight="1">
      <c r="A8" s="41">
        <v>6</v>
      </c>
      <c r="B8" s="47" t="str">
        <f>IF('Attendance Sheet'!$B11="","",'Attendance Sheet'!$B11)</f>
        <v/>
      </c>
      <c r="C8" s="60" t="str">
        <f>IF('Attendance Sheet'!$C11="","",'Attendance Sheet'!$C11)</f>
        <v/>
      </c>
      <c r="D8" s="56" t="str">
        <f>IF('Attendance Sheet'!$D11="","",'Attendance Sheet'!$D11)</f>
        <v/>
      </c>
      <c r="E8" s="47" t="str">
        <f>IF('Attendance Sheet'!$E11="","",'Attendance Sheet'!$E11)</f>
        <v/>
      </c>
      <c r="F8" s="47" t="str">
        <f>IF('Attendance Sheet'!$F11="","",'Attendance Sheet'!$F11)</f>
        <v/>
      </c>
      <c r="G8" s="47" t="str">
        <f>IF('Attendance Sheet'!$G11="","",'Attendance Sheet'!$G11)</f>
        <v/>
      </c>
      <c r="H8" s="48" t="str">
        <f>IF('Attendance Sheet'!$H11="","",'Attendance Sheet'!$H11)</f>
        <v/>
      </c>
      <c r="I8" s="72">
        <f>IFERROR('Attendance Sheet'!$FV11,"")</f>
        <v>0</v>
      </c>
      <c r="J8" s="49">
        <f>IFERROR('Attendance Sheet'!$FW11,"")</f>
        <v>0</v>
      </c>
      <c r="K8" s="50">
        <f>'Attendance Sheet'!$FA11</f>
        <v>0</v>
      </c>
      <c r="L8" s="47">
        <f>'Attendance Sheet'!$FC11</f>
        <v>0</v>
      </c>
      <c r="M8" s="51">
        <f>'Attendance Sheet'!$FE11</f>
        <v>0</v>
      </c>
      <c r="N8" s="46">
        <f>'Attendance Sheet'!$FP11</f>
        <v>0</v>
      </c>
      <c r="O8" s="43"/>
      <c r="P8" s="43"/>
      <c r="Q8" s="45"/>
      <c r="R8" s="42"/>
      <c r="S8" s="73">
        <f t="shared" si="3"/>
        <v>0</v>
      </c>
      <c r="T8" s="46">
        <f>'Attendance Sheet'!$FT11</f>
        <v>0</v>
      </c>
      <c r="U8" s="43"/>
      <c r="V8" s="45" t="str">
        <f>'Attendance Sheet'!$FR11</f>
        <v/>
      </c>
      <c r="W8" s="45"/>
      <c r="X8" s="43"/>
      <c r="Y8" s="42"/>
      <c r="Z8" s="74">
        <f t="shared" si="1"/>
        <v>0</v>
      </c>
      <c r="AA8" s="75">
        <f t="shared" si="2"/>
        <v>0</v>
      </c>
      <c r="AB8" s="41"/>
      <c r="AC8" s="62"/>
    </row>
    <row r="9" spans="1:29" ht="20.100000000000001" customHeight="1">
      <c r="A9" s="41">
        <v>7</v>
      </c>
      <c r="B9" s="47" t="str">
        <f>IF('Attendance Sheet'!$B12="","",'Attendance Sheet'!$B12)</f>
        <v/>
      </c>
      <c r="C9" s="60" t="str">
        <f>IF('Attendance Sheet'!$C12="","",'Attendance Sheet'!$C12)</f>
        <v/>
      </c>
      <c r="D9" s="56" t="str">
        <f>IF('Attendance Sheet'!$D12="","",'Attendance Sheet'!$D12)</f>
        <v/>
      </c>
      <c r="E9" s="47" t="str">
        <f>IF('Attendance Sheet'!$E12="","",'Attendance Sheet'!$E12)</f>
        <v/>
      </c>
      <c r="F9" s="47" t="str">
        <f>IF('Attendance Sheet'!$F12="","",'Attendance Sheet'!$F12)</f>
        <v/>
      </c>
      <c r="G9" s="47" t="str">
        <f>IF('Attendance Sheet'!$G12="","",'Attendance Sheet'!$G12)</f>
        <v/>
      </c>
      <c r="H9" s="48" t="str">
        <f>IF('Attendance Sheet'!$H12="","",'Attendance Sheet'!$H12)</f>
        <v/>
      </c>
      <c r="I9" s="72">
        <f>IFERROR('Attendance Sheet'!$FV12,"")</f>
        <v>0</v>
      </c>
      <c r="J9" s="49">
        <f>IFERROR('Attendance Sheet'!$FW12,"")</f>
        <v>0</v>
      </c>
      <c r="K9" s="50">
        <f>'Attendance Sheet'!$FA12</f>
        <v>0</v>
      </c>
      <c r="L9" s="47">
        <f>'Attendance Sheet'!$FC12</f>
        <v>0</v>
      </c>
      <c r="M9" s="51">
        <f>'Attendance Sheet'!$FE12</f>
        <v>0</v>
      </c>
      <c r="N9" s="46">
        <f>'Attendance Sheet'!$FP12</f>
        <v>0</v>
      </c>
      <c r="O9" s="43"/>
      <c r="P9" s="43"/>
      <c r="Q9" s="45"/>
      <c r="R9" s="42"/>
      <c r="S9" s="73">
        <f t="shared" si="3"/>
        <v>0</v>
      </c>
      <c r="T9" s="46">
        <f>'Attendance Sheet'!$FT12</f>
        <v>0</v>
      </c>
      <c r="U9" s="43"/>
      <c r="V9" s="45" t="str">
        <f>'Attendance Sheet'!$FR12</f>
        <v/>
      </c>
      <c r="W9" s="45"/>
      <c r="X9" s="43"/>
      <c r="Y9" s="42"/>
      <c r="Z9" s="74">
        <f t="shared" si="1"/>
        <v>0</v>
      </c>
      <c r="AA9" s="75">
        <f t="shared" si="2"/>
        <v>0</v>
      </c>
      <c r="AB9" s="41"/>
      <c r="AC9" s="62"/>
    </row>
    <row r="10" spans="1:29" ht="20.100000000000001" customHeight="1">
      <c r="A10" s="41">
        <v>8</v>
      </c>
      <c r="B10" s="47" t="str">
        <f>IF('Attendance Sheet'!$B13="","",'Attendance Sheet'!$B13)</f>
        <v/>
      </c>
      <c r="C10" s="60" t="str">
        <f>IF('Attendance Sheet'!$C13="","",'Attendance Sheet'!$C13)</f>
        <v/>
      </c>
      <c r="D10" s="56" t="str">
        <f>IF('Attendance Sheet'!$D13="","",'Attendance Sheet'!$D13)</f>
        <v/>
      </c>
      <c r="E10" s="47" t="str">
        <f>IF('Attendance Sheet'!$E13="","",'Attendance Sheet'!$E13)</f>
        <v/>
      </c>
      <c r="F10" s="47" t="str">
        <f>IF('Attendance Sheet'!$F13="","",'Attendance Sheet'!$F13)</f>
        <v/>
      </c>
      <c r="G10" s="47" t="str">
        <f>IF('Attendance Sheet'!$G13="","",'Attendance Sheet'!$G13)</f>
        <v/>
      </c>
      <c r="H10" s="48" t="str">
        <f>IF('Attendance Sheet'!$H13="","",'Attendance Sheet'!$H13)</f>
        <v/>
      </c>
      <c r="I10" s="72">
        <f>IFERROR('Attendance Sheet'!$FV13,"")</f>
        <v>0</v>
      </c>
      <c r="J10" s="49">
        <f>IFERROR('Attendance Sheet'!$FW13,"")</f>
        <v>0</v>
      </c>
      <c r="K10" s="50">
        <f>'Attendance Sheet'!$FA13</f>
        <v>0</v>
      </c>
      <c r="L10" s="47">
        <f>'Attendance Sheet'!$FC13</f>
        <v>0</v>
      </c>
      <c r="M10" s="51">
        <f>'Attendance Sheet'!$FE13</f>
        <v>0</v>
      </c>
      <c r="N10" s="46">
        <f>'Attendance Sheet'!$FP13</f>
        <v>0</v>
      </c>
      <c r="O10" s="43"/>
      <c r="P10" s="43"/>
      <c r="Q10" s="45"/>
      <c r="R10" s="42"/>
      <c r="S10" s="73">
        <f t="shared" ref="S10:S29" si="4">SUM(I10,$N10:$R10)</f>
        <v>0</v>
      </c>
      <c r="T10" s="46">
        <f>'Attendance Sheet'!$FT13</f>
        <v>0</v>
      </c>
      <c r="U10" s="43"/>
      <c r="V10" s="45" t="str">
        <f>'Attendance Sheet'!$FR13</f>
        <v/>
      </c>
      <c r="W10" s="45"/>
      <c r="X10" s="43"/>
      <c r="Y10" s="42"/>
      <c r="Z10" s="74">
        <f t="shared" si="1"/>
        <v>0</v>
      </c>
      <c r="AA10" s="75">
        <f t="shared" si="2"/>
        <v>0</v>
      </c>
      <c r="AB10" s="41"/>
      <c r="AC10" s="62"/>
    </row>
    <row r="11" spans="1:29" ht="20.100000000000001" customHeight="1">
      <c r="A11" s="41">
        <v>9</v>
      </c>
      <c r="B11" s="47" t="str">
        <f>IF('Attendance Sheet'!$B14="","",'Attendance Sheet'!$B14)</f>
        <v/>
      </c>
      <c r="C11" s="60" t="str">
        <f>IF('Attendance Sheet'!$C14="","",'Attendance Sheet'!$C14)</f>
        <v/>
      </c>
      <c r="D11" s="56" t="str">
        <f>IF('Attendance Sheet'!$D14="","",'Attendance Sheet'!$D14)</f>
        <v/>
      </c>
      <c r="E11" s="47" t="str">
        <f>IF('Attendance Sheet'!$E14="","",'Attendance Sheet'!$E14)</f>
        <v/>
      </c>
      <c r="F11" s="47" t="str">
        <f>IF('Attendance Sheet'!$F14="","",'Attendance Sheet'!$F14)</f>
        <v/>
      </c>
      <c r="G11" s="47" t="str">
        <f>IF('Attendance Sheet'!$G14="","",'Attendance Sheet'!$G14)</f>
        <v/>
      </c>
      <c r="H11" s="48" t="str">
        <f>IF('Attendance Sheet'!$H14="","",'Attendance Sheet'!$H14)</f>
        <v/>
      </c>
      <c r="I11" s="72">
        <f>IFERROR('Attendance Sheet'!$FV14,"")</f>
        <v>0</v>
      </c>
      <c r="J11" s="49">
        <f>IFERROR('Attendance Sheet'!$FW14,"")</f>
        <v>0</v>
      </c>
      <c r="K11" s="50">
        <f>'Attendance Sheet'!$FA14</f>
        <v>0</v>
      </c>
      <c r="L11" s="47">
        <f>'Attendance Sheet'!$FC14</f>
        <v>0</v>
      </c>
      <c r="M11" s="51">
        <f>'Attendance Sheet'!$FE14</f>
        <v>0</v>
      </c>
      <c r="N11" s="46">
        <f>'Attendance Sheet'!$FP14</f>
        <v>0</v>
      </c>
      <c r="O11" s="43"/>
      <c r="P11" s="43"/>
      <c r="Q11" s="45"/>
      <c r="R11" s="42"/>
      <c r="S11" s="73">
        <f t="shared" si="4"/>
        <v>0</v>
      </c>
      <c r="T11" s="46">
        <f>'Attendance Sheet'!$FT14</f>
        <v>0</v>
      </c>
      <c r="U11" s="43"/>
      <c r="V11" s="45" t="str">
        <f>'Attendance Sheet'!$FR14</f>
        <v/>
      </c>
      <c r="W11" s="45"/>
      <c r="X11" s="43"/>
      <c r="Y11" s="42"/>
      <c r="Z11" s="74">
        <f t="shared" si="1"/>
        <v>0</v>
      </c>
      <c r="AA11" s="75">
        <f t="shared" si="2"/>
        <v>0</v>
      </c>
      <c r="AB11" s="41"/>
      <c r="AC11" s="62"/>
    </row>
    <row r="12" spans="1:29" ht="20.100000000000001" customHeight="1">
      <c r="A12" s="41">
        <v>11</v>
      </c>
      <c r="B12" s="47" t="str">
        <f>IF('Attendance Sheet'!$B15="","",'Attendance Sheet'!$B15)</f>
        <v/>
      </c>
      <c r="C12" s="60" t="str">
        <f>IF('Attendance Sheet'!$C15="","",'Attendance Sheet'!$C15)</f>
        <v/>
      </c>
      <c r="D12" s="56" t="str">
        <f>IF('Attendance Sheet'!$D15="","",'Attendance Sheet'!$D15)</f>
        <v/>
      </c>
      <c r="E12" s="47" t="str">
        <f>IF('Attendance Sheet'!$E15="","",'Attendance Sheet'!$E15)</f>
        <v/>
      </c>
      <c r="F12" s="47" t="str">
        <f>IF('Attendance Sheet'!$F15="","",'Attendance Sheet'!$F15)</f>
        <v/>
      </c>
      <c r="G12" s="47" t="str">
        <f>IF('Attendance Sheet'!$G15="","",'Attendance Sheet'!$G15)</f>
        <v/>
      </c>
      <c r="H12" s="48" t="str">
        <f>IF('Attendance Sheet'!$H15="","",'Attendance Sheet'!$H15)</f>
        <v/>
      </c>
      <c r="I12" s="72">
        <f>IFERROR('Attendance Sheet'!$FV15,"")</f>
        <v>0</v>
      </c>
      <c r="J12" s="49">
        <f>IFERROR('Attendance Sheet'!$FW15,"")</f>
        <v>0</v>
      </c>
      <c r="K12" s="50">
        <f>'Attendance Sheet'!$FA15</f>
        <v>0</v>
      </c>
      <c r="L12" s="47">
        <f>'Attendance Sheet'!$FC15</f>
        <v>0</v>
      </c>
      <c r="M12" s="51">
        <f>'Attendance Sheet'!$FE15</f>
        <v>0</v>
      </c>
      <c r="N12" s="46">
        <f>'Attendance Sheet'!$FP15</f>
        <v>0</v>
      </c>
      <c r="O12" s="43"/>
      <c r="P12" s="43"/>
      <c r="Q12" s="45"/>
      <c r="R12" s="42"/>
      <c r="S12" s="73">
        <f t="shared" si="4"/>
        <v>0</v>
      </c>
      <c r="T12" s="46">
        <f>'Attendance Sheet'!$FT15</f>
        <v>0</v>
      </c>
      <c r="U12" s="43"/>
      <c r="V12" s="45" t="str">
        <f>'Attendance Sheet'!$FR15</f>
        <v/>
      </c>
      <c r="W12" s="45"/>
      <c r="X12" s="43"/>
      <c r="Y12" s="42"/>
      <c r="Z12" s="74">
        <f t="shared" si="1"/>
        <v>0</v>
      </c>
      <c r="AA12" s="75">
        <f t="shared" si="2"/>
        <v>0</v>
      </c>
      <c r="AB12" s="41"/>
      <c r="AC12" s="62"/>
    </row>
    <row r="13" spans="1:29" ht="20.100000000000001" customHeight="1">
      <c r="A13" s="41">
        <v>12</v>
      </c>
      <c r="B13" s="47" t="str">
        <f>IF('Attendance Sheet'!$B16="","",'Attendance Sheet'!$B16)</f>
        <v/>
      </c>
      <c r="C13" s="60" t="str">
        <f>IF('Attendance Sheet'!$C16="","",'Attendance Sheet'!$C16)</f>
        <v/>
      </c>
      <c r="D13" s="56" t="str">
        <f>IF('Attendance Sheet'!$D16="","",'Attendance Sheet'!$D16)</f>
        <v/>
      </c>
      <c r="E13" s="47" t="str">
        <f>IF('Attendance Sheet'!$E16="","",'Attendance Sheet'!$E16)</f>
        <v/>
      </c>
      <c r="F13" s="47" t="str">
        <f>IF('Attendance Sheet'!$F16="","",'Attendance Sheet'!$F16)</f>
        <v/>
      </c>
      <c r="G13" s="47" t="str">
        <f>IF('Attendance Sheet'!$G16="","",'Attendance Sheet'!$G16)</f>
        <v/>
      </c>
      <c r="H13" s="48" t="str">
        <f>IF('Attendance Sheet'!$H16="","",'Attendance Sheet'!$H16)</f>
        <v/>
      </c>
      <c r="I13" s="72">
        <f>IFERROR('Attendance Sheet'!$FV16,"")</f>
        <v>0</v>
      </c>
      <c r="J13" s="49">
        <f>IFERROR('Attendance Sheet'!$FW16,"")</f>
        <v>0</v>
      </c>
      <c r="K13" s="50">
        <f>'Attendance Sheet'!$FA16</f>
        <v>0</v>
      </c>
      <c r="L13" s="47">
        <f>'Attendance Sheet'!$FC16</f>
        <v>0</v>
      </c>
      <c r="M13" s="51">
        <f>'Attendance Sheet'!$FE16</f>
        <v>0</v>
      </c>
      <c r="N13" s="46">
        <f>'Attendance Sheet'!$FP16</f>
        <v>0</v>
      </c>
      <c r="O13" s="43"/>
      <c r="P13" s="43"/>
      <c r="Q13" s="45"/>
      <c r="R13" s="42"/>
      <c r="S13" s="73">
        <f t="shared" si="4"/>
        <v>0</v>
      </c>
      <c r="T13" s="46">
        <f>'Attendance Sheet'!$FT16</f>
        <v>0</v>
      </c>
      <c r="U13" s="43"/>
      <c r="V13" s="45" t="str">
        <f>'Attendance Sheet'!$FR16</f>
        <v/>
      </c>
      <c r="W13" s="45"/>
      <c r="X13" s="43"/>
      <c r="Y13" s="42"/>
      <c r="Z13" s="74">
        <f t="shared" si="1"/>
        <v>0</v>
      </c>
      <c r="AA13" s="75">
        <f t="shared" si="2"/>
        <v>0</v>
      </c>
      <c r="AB13" s="41"/>
      <c r="AC13" s="62"/>
    </row>
    <row r="14" spans="1:29" ht="20.100000000000001" customHeight="1">
      <c r="A14" s="41">
        <v>13</v>
      </c>
      <c r="B14" s="47" t="str">
        <f>IF('Attendance Sheet'!$B17="","",'Attendance Sheet'!$B17)</f>
        <v/>
      </c>
      <c r="C14" s="60" t="str">
        <f>IF('Attendance Sheet'!$C17="","",'Attendance Sheet'!$C17)</f>
        <v/>
      </c>
      <c r="D14" s="56" t="str">
        <f>IF('Attendance Sheet'!$D17="","",'Attendance Sheet'!$D17)</f>
        <v/>
      </c>
      <c r="E14" s="47" t="str">
        <f>IF('Attendance Sheet'!$E17="","",'Attendance Sheet'!$E17)</f>
        <v/>
      </c>
      <c r="F14" s="47" t="str">
        <f>IF('Attendance Sheet'!$F17="","",'Attendance Sheet'!$F17)</f>
        <v/>
      </c>
      <c r="G14" s="47" t="str">
        <f>IF('Attendance Sheet'!$G17="","",'Attendance Sheet'!$G17)</f>
        <v/>
      </c>
      <c r="H14" s="48" t="str">
        <f>IF('Attendance Sheet'!$H17="","",'Attendance Sheet'!$H17)</f>
        <v/>
      </c>
      <c r="I14" s="72">
        <f>IFERROR('Attendance Sheet'!$FV17,"")</f>
        <v>0</v>
      </c>
      <c r="J14" s="49">
        <f>IFERROR('Attendance Sheet'!$FW17,"")</f>
        <v>0</v>
      </c>
      <c r="K14" s="50">
        <f>'Attendance Sheet'!$FA17</f>
        <v>0</v>
      </c>
      <c r="L14" s="47">
        <f>'Attendance Sheet'!$FC17</f>
        <v>0</v>
      </c>
      <c r="M14" s="51">
        <f>'Attendance Sheet'!$FE17</f>
        <v>0</v>
      </c>
      <c r="N14" s="46">
        <f>'Attendance Sheet'!$FP17</f>
        <v>0</v>
      </c>
      <c r="O14" s="43"/>
      <c r="P14" s="43"/>
      <c r="Q14" s="45"/>
      <c r="R14" s="42"/>
      <c r="S14" s="73">
        <f t="shared" si="4"/>
        <v>0</v>
      </c>
      <c r="T14" s="46">
        <f>'Attendance Sheet'!$FT17</f>
        <v>0</v>
      </c>
      <c r="U14" s="43"/>
      <c r="V14" s="45" t="str">
        <f>'Attendance Sheet'!$FR17</f>
        <v/>
      </c>
      <c r="W14" s="45"/>
      <c r="X14" s="43"/>
      <c r="Y14" s="42"/>
      <c r="Z14" s="74">
        <f t="shared" si="1"/>
        <v>0</v>
      </c>
      <c r="AA14" s="75">
        <f t="shared" si="2"/>
        <v>0</v>
      </c>
      <c r="AB14" s="41"/>
      <c r="AC14" s="62"/>
    </row>
    <row r="15" spans="1:29" ht="20.100000000000001" customHeight="1">
      <c r="A15" s="41">
        <v>14</v>
      </c>
      <c r="B15" s="47" t="str">
        <f>IF('Attendance Sheet'!$B18="","",'Attendance Sheet'!$B18)</f>
        <v/>
      </c>
      <c r="C15" s="60" t="str">
        <f>IF('Attendance Sheet'!$C18="","",'Attendance Sheet'!$C18)</f>
        <v/>
      </c>
      <c r="D15" s="56" t="str">
        <f>IF('Attendance Sheet'!$D18="","",'Attendance Sheet'!$D18)</f>
        <v/>
      </c>
      <c r="E15" s="47" t="str">
        <f>IF('Attendance Sheet'!$E18="","",'Attendance Sheet'!$E18)</f>
        <v/>
      </c>
      <c r="F15" s="47" t="str">
        <f>IF('Attendance Sheet'!$F18="","",'Attendance Sheet'!$F18)</f>
        <v/>
      </c>
      <c r="G15" s="47" t="str">
        <f>IF('Attendance Sheet'!$G18="","",'Attendance Sheet'!$G18)</f>
        <v/>
      </c>
      <c r="H15" s="48" t="str">
        <f>IF('Attendance Sheet'!$H18="","",'Attendance Sheet'!$H18)</f>
        <v/>
      </c>
      <c r="I15" s="72">
        <f>IFERROR('Attendance Sheet'!$FV18,"")</f>
        <v>0</v>
      </c>
      <c r="J15" s="49">
        <f>IFERROR('Attendance Sheet'!$FW18,"")</f>
        <v>0</v>
      </c>
      <c r="K15" s="50">
        <f>'Attendance Sheet'!$FA18</f>
        <v>0</v>
      </c>
      <c r="L15" s="47">
        <f>'Attendance Sheet'!$FC18</f>
        <v>0</v>
      </c>
      <c r="M15" s="51">
        <f>'Attendance Sheet'!$FE18</f>
        <v>0</v>
      </c>
      <c r="N15" s="46">
        <f>'Attendance Sheet'!$FP18</f>
        <v>0</v>
      </c>
      <c r="O15" s="43"/>
      <c r="P15" s="43"/>
      <c r="Q15" s="45"/>
      <c r="R15" s="42"/>
      <c r="S15" s="73">
        <f t="shared" si="4"/>
        <v>0</v>
      </c>
      <c r="T15" s="46">
        <f>'Attendance Sheet'!$FT18</f>
        <v>0</v>
      </c>
      <c r="U15" s="43"/>
      <c r="V15" s="45" t="str">
        <f>'Attendance Sheet'!$FR18</f>
        <v/>
      </c>
      <c r="W15" s="45"/>
      <c r="X15" s="43"/>
      <c r="Y15" s="42"/>
      <c r="Z15" s="74">
        <f t="shared" si="1"/>
        <v>0</v>
      </c>
      <c r="AA15" s="75">
        <f t="shared" si="2"/>
        <v>0</v>
      </c>
      <c r="AB15" s="41"/>
      <c r="AC15" s="62"/>
    </row>
    <row r="16" spans="1:29" ht="20.100000000000001" customHeight="1">
      <c r="A16" s="41">
        <v>15</v>
      </c>
      <c r="B16" s="47" t="str">
        <f>IF('Attendance Sheet'!$B19="","",'Attendance Sheet'!$B19)</f>
        <v/>
      </c>
      <c r="C16" s="60" t="str">
        <f>IF('Attendance Sheet'!$C19="","",'Attendance Sheet'!$C19)</f>
        <v/>
      </c>
      <c r="D16" s="56" t="str">
        <f>IF('Attendance Sheet'!$D19="","",'Attendance Sheet'!$D19)</f>
        <v/>
      </c>
      <c r="E16" s="47" t="str">
        <f>IF('Attendance Sheet'!$E19="","",'Attendance Sheet'!$E19)</f>
        <v/>
      </c>
      <c r="F16" s="47" t="str">
        <f>IF('Attendance Sheet'!$F19="","",'Attendance Sheet'!$F19)</f>
        <v/>
      </c>
      <c r="G16" s="47" t="str">
        <f>IF('Attendance Sheet'!$G19="","",'Attendance Sheet'!$G19)</f>
        <v/>
      </c>
      <c r="H16" s="48" t="str">
        <f>IF('Attendance Sheet'!$H19="","",'Attendance Sheet'!$H19)</f>
        <v/>
      </c>
      <c r="I16" s="72">
        <f>IFERROR('Attendance Sheet'!$FV19,"")</f>
        <v>0</v>
      </c>
      <c r="J16" s="49">
        <f>IFERROR('Attendance Sheet'!$FW19,"")</f>
        <v>0</v>
      </c>
      <c r="K16" s="50">
        <f>'Attendance Sheet'!$FA19</f>
        <v>0</v>
      </c>
      <c r="L16" s="47">
        <f>'Attendance Sheet'!$FC19</f>
        <v>0</v>
      </c>
      <c r="M16" s="51">
        <f>'Attendance Sheet'!$FE19</f>
        <v>0</v>
      </c>
      <c r="N16" s="46">
        <f>'Attendance Sheet'!$FP19</f>
        <v>0</v>
      </c>
      <c r="O16" s="43"/>
      <c r="P16" s="43"/>
      <c r="Q16" s="45"/>
      <c r="R16" s="42"/>
      <c r="S16" s="73">
        <f t="shared" si="4"/>
        <v>0</v>
      </c>
      <c r="T16" s="46">
        <f>'Attendance Sheet'!$FT19</f>
        <v>0</v>
      </c>
      <c r="U16" s="43"/>
      <c r="V16" s="45" t="str">
        <f>'Attendance Sheet'!$FR19</f>
        <v/>
      </c>
      <c r="W16" s="45"/>
      <c r="X16" s="43"/>
      <c r="Y16" s="42"/>
      <c r="Z16" s="74">
        <f t="shared" si="1"/>
        <v>0</v>
      </c>
      <c r="AA16" s="75">
        <f t="shared" si="2"/>
        <v>0</v>
      </c>
      <c r="AB16" s="41"/>
      <c r="AC16" s="62"/>
    </row>
    <row r="17" spans="1:29" ht="20.100000000000001" customHeight="1">
      <c r="A17" s="41">
        <v>16</v>
      </c>
      <c r="B17" s="47" t="str">
        <f>IF('Attendance Sheet'!$B20="","",'Attendance Sheet'!$B20)</f>
        <v/>
      </c>
      <c r="C17" s="60" t="str">
        <f>IF('Attendance Sheet'!$C20="","",'Attendance Sheet'!$C20)</f>
        <v/>
      </c>
      <c r="D17" s="56" t="str">
        <f>IF('Attendance Sheet'!$D20="","",'Attendance Sheet'!$D20)</f>
        <v/>
      </c>
      <c r="E17" s="47" t="str">
        <f>IF('Attendance Sheet'!$E20="","",'Attendance Sheet'!$E20)</f>
        <v/>
      </c>
      <c r="F17" s="47" t="str">
        <f>IF('Attendance Sheet'!$F20="","",'Attendance Sheet'!$F20)</f>
        <v/>
      </c>
      <c r="G17" s="47" t="str">
        <f>IF('Attendance Sheet'!$G20="","",'Attendance Sheet'!$G20)</f>
        <v/>
      </c>
      <c r="H17" s="48" t="str">
        <f>IF('Attendance Sheet'!$H20="","",'Attendance Sheet'!$H20)</f>
        <v/>
      </c>
      <c r="I17" s="72">
        <f>IFERROR('Attendance Sheet'!$FV20,"")</f>
        <v>0</v>
      </c>
      <c r="J17" s="49">
        <f>IFERROR('Attendance Sheet'!$FW20,"")</f>
        <v>0</v>
      </c>
      <c r="K17" s="50">
        <f>'Attendance Sheet'!$FA20</f>
        <v>0</v>
      </c>
      <c r="L17" s="47">
        <f>'Attendance Sheet'!$FC20</f>
        <v>0</v>
      </c>
      <c r="M17" s="51">
        <f>'Attendance Sheet'!$FE20</f>
        <v>0</v>
      </c>
      <c r="N17" s="46">
        <f>'Attendance Sheet'!$FP20</f>
        <v>0</v>
      </c>
      <c r="O17" s="43"/>
      <c r="P17" s="43"/>
      <c r="Q17" s="45"/>
      <c r="R17" s="42"/>
      <c r="S17" s="73">
        <f t="shared" si="4"/>
        <v>0</v>
      </c>
      <c r="T17" s="46">
        <f>'Attendance Sheet'!$FT20</f>
        <v>0</v>
      </c>
      <c r="U17" s="43"/>
      <c r="V17" s="45" t="str">
        <f>'Attendance Sheet'!$FR20</f>
        <v/>
      </c>
      <c r="W17" s="45"/>
      <c r="X17" s="43"/>
      <c r="Y17" s="42"/>
      <c r="Z17" s="74">
        <f t="shared" si="1"/>
        <v>0</v>
      </c>
      <c r="AA17" s="75">
        <f t="shared" si="2"/>
        <v>0</v>
      </c>
      <c r="AB17" s="41"/>
      <c r="AC17" s="62"/>
    </row>
    <row r="18" spans="1:29" ht="20.100000000000001" customHeight="1">
      <c r="A18" s="41">
        <v>17</v>
      </c>
      <c r="B18" s="47" t="str">
        <f>IF('Attendance Sheet'!$B21="","",'Attendance Sheet'!$B21)</f>
        <v/>
      </c>
      <c r="C18" s="60" t="str">
        <f>IF('Attendance Sheet'!$C21="","",'Attendance Sheet'!$C21)</f>
        <v/>
      </c>
      <c r="D18" s="56" t="str">
        <f>IF('Attendance Sheet'!$D21="","",'Attendance Sheet'!$D21)</f>
        <v/>
      </c>
      <c r="E18" s="47" t="str">
        <f>IF('Attendance Sheet'!$E21="","",'Attendance Sheet'!$E21)</f>
        <v/>
      </c>
      <c r="F18" s="47" t="str">
        <f>IF('Attendance Sheet'!$F21="","",'Attendance Sheet'!$F21)</f>
        <v/>
      </c>
      <c r="G18" s="47" t="str">
        <f>IF('Attendance Sheet'!$G21="","",'Attendance Sheet'!$G21)</f>
        <v/>
      </c>
      <c r="H18" s="48" t="str">
        <f>IF('Attendance Sheet'!$H21="","",'Attendance Sheet'!$H21)</f>
        <v/>
      </c>
      <c r="I18" s="72">
        <f>IFERROR('Attendance Sheet'!$FV21,"")</f>
        <v>0</v>
      </c>
      <c r="J18" s="49">
        <f>IFERROR('Attendance Sheet'!$FW21,"")</f>
        <v>0</v>
      </c>
      <c r="K18" s="50">
        <f>'Attendance Sheet'!$FA21</f>
        <v>0</v>
      </c>
      <c r="L18" s="47">
        <f>'Attendance Sheet'!$FC21</f>
        <v>0</v>
      </c>
      <c r="M18" s="51">
        <f>'Attendance Sheet'!$FE21</f>
        <v>0</v>
      </c>
      <c r="N18" s="46">
        <f>'Attendance Sheet'!$FP21</f>
        <v>0</v>
      </c>
      <c r="O18" s="43"/>
      <c r="P18" s="43"/>
      <c r="Q18" s="45"/>
      <c r="R18" s="42"/>
      <c r="S18" s="73">
        <f t="shared" si="4"/>
        <v>0</v>
      </c>
      <c r="T18" s="46">
        <f>'Attendance Sheet'!$FT21</f>
        <v>0</v>
      </c>
      <c r="U18" s="43"/>
      <c r="V18" s="45" t="str">
        <f>'Attendance Sheet'!$FR21</f>
        <v/>
      </c>
      <c r="W18" s="45"/>
      <c r="X18" s="43"/>
      <c r="Y18" s="42"/>
      <c r="Z18" s="74">
        <f t="shared" si="1"/>
        <v>0</v>
      </c>
      <c r="AA18" s="75">
        <f t="shared" si="2"/>
        <v>0</v>
      </c>
      <c r="AB18" s="41"/>
      <c r="AC18" s="62"/>
    </row>
    <row r="19" spans="1:29" ht="20.100000000000001" customHeight="1">
      <c r="A19" s="41">
        <v>18</v>
      </c>
      <c r="B19" s="47" t="str">
        <f>IF('Attendance Sheet'!$B22="","",'Attendance Sheet'!$B22)</f>
        <v/>
      </c>
      <c r="C19" s="60" t="str">
        <f>IF('Attendance Sheet'!$C22="","",'Attendance Sheet'!$C22)</f>
        <v/>
      </c>
      <c r="D19" s="56" t="str">
        <f>IF('Attendance Sheet'!$D22="","",'Attendance Sheet'!$D22)</f>
        <v/>
      </c>
      <c r="E19" s="47" t="str">
        <f>IF('Attendance Sheet'!$E22="","",'Attendance Sheet'!$E22)</f>
        <v/>
      </c>
      <c r="F19" s="47" t="str">
        <f>IF('Attendance Sheet'!$F22="","",'Attendance Sheet'!$F22)</f>
        <v/>
      </c>
      <c r="G19" s="47" t="str">
        <f>IF('Attendance Sheet'!$G22="","",'Attendance Sheet'!$G22)</f>
        <v/>
      </c>
      <c r="H19" s="48" t="str">
        <f>IF('Attendance Sheet'!$H22="","",'Attendance Sheet'!$H22)</f>
        <v/>
      </c>
      <c r="I19" s="72">
        <f>IFERROR('Attendance Sheet'!$FV22,"")</f>
        <v>0</v>
      </c>
      <c r="J19" s="49">
        <f>IFERROR('Attendance Sheet'!$FW22,"")</f>
        <v>0</v>
      </c>
      <c r="K19" s="50">
        <f>'Attendance Sheet'!$FA22</f>
        <v>0</v>
      </c>
      <c r="L19" s="47">
        <f>'Attendance Sheet'!$FC22</f>
        <v>0</v>
      </c>
      <c r="M19" s="51">
        <f>'Attendance Sheet'!$FE22</f>
        <v>0</v>
      </c>
      <c r="N19" s="46">
        <f>'Attendance Sheet'!$FP22</f>
        <v>0</v>
      </c>
      <c r="O19" s="43"/>
      <c r="P19" s="43"/>
      <c r="Q19" s="45"/>
      <c r="R19" s="42"/>
      <c r="S19" s="73">
        <f t="shared" si="4"/>
        <v>0</v>
      </c>
      <c r="T19" s="46">
        <f>'Attendance Sheet'!$FT22</f>
        <v>0</v>
      </c>
      <c r="U19" s="43"/>
      <c r="V19" s="45" t="str">
        <f>'Attendance Sheet'!$FR22</f>
        <v/>
      </c>
      <c r="W19" s="45"/>
      <c r="X19" s="43"/>
      <c r="Y19" s="42"/>
      <c r="Z19" s="74">
        <f t="shared" si="1"/>
        <v>0</v>
      </c>
      <c r="AA19" s="75">
        <f t="shared" si="2"/>
        <v>0</v>
      </c>
      <c r="AB19" s="41"/>
      <c r="AC19" s="62"/>
    </row>
    <row r="20" spans="1:29" ht="20.100000000000001" customHeight="1">
      <c r="A20" s="41">
        <v>19</v>
      </c>
      <c r="B20" s="47" t="str">
        <f>IF('Attendance Sheet'!$B23="","",'Attendance Sheet'!$B23)</f>
        <v/>
      </c>
      <c r="C20" s="60" t="str">
        <f>IF('Attendance Sheet'!$C23="","",'Attendance Sheet'!$C23)</f>
        <v/>
      </c>
      <c r="D20" s="56" t="str">
        <f>IF('Attendance Sheet'!$D23="","",'Attendance Sheet'!$D23)</f>
        <v/>
      </c>
      <c r="E20" s="47" t="str">
        <f>IF('Attendance Sheet'!$E23="","",'Attendance Sheet'!$E23)</f>
        <v/>
      </c>
      <c r="F20" s="47" t="str">
        <f>IF('Attendance Sheet'!$F23="","",'Attendance Sheet'!$F23)</f>
        <v/>
      </c>
      <c r="G20" s="47" t="str">
        <f>IF('Attendance Sheet'!$G23="","",'Attendance Sheet'!$G23)</f>
        <v/>
      </c>
      <c r="H20" s="48" t="str">
        <f>IF('Attendance Sheet'!$H23="","",'Attendance Sheet'!$H23)</f>
        <v/>
      </c>
      <c r="I20" s="72">
        <f>IFERROR('Attendance Sheet'!$FV23,"")</f>
        <v>0</v>
      </c>
      <c r="J20" s="49">
        <f>IFERROR('Attendance Sheet'!$FW23,"")</f>
        <v>0</v>
      </c>
      <c r="K20" s="50">
        <f>'Attendance Sheet'!$FA23</f>
        <v>0</v>
      </c>
      <c r="L20" s="47">
        <f>'Attendance Sheet'!$FC23</f>
        <v>0</v>
      </c>
      <c r="M20" s="51">
        <f>'Attendance Sheet'!$FE23</f>
        <v>0</v>
      </c>
      <c r="N20" s="46">
        <f>'Attendance Sheet'!$FP23</f>
        <v>0</v>
      </c>
      <c r="O20" s="43"/>
      <c r="P20" s="43"/>
      <c r="Q20" s="45"/>
      <c r="R20" s="42"/>
      <c r="S20" s="73">
        <f t="shared" si="4"/>
        <v>0</v>
      </c>
      <c r="T20" s="46">
        <f>'Attendance Sheet'!$FT23</f>
        <v>0</v>
      </c>
      <c r="U20" s="43"/>
      <c r="V20" s="45" t="str">
        <f>'Attendance Sheet'!$FR23</f>
        <v/>
      </c>
      <c r="W20" s="45"/>
      <c r="X20" s="43"/>
      <c r="Y20" s="42"/>
      <c r="Z20" s="74">
        <f t="shared" si="1"/>
        <v>0</v>
      </c>
      <c r="AA20" s="75">
        <f t="shared" si="2"/>
        <v>0</v>
      </c>
      <c r="AB20" s="41"/>
      <c r="AC20" s="62"/>
    </row>
    <row r="21" spans="1:29" ht="20.100000000000001" customHeight="1">
      <c r="A21" s="41">
        <v>20</v>
      </c>
      <c r="B21" s="47" t="str">
        <f>IF('Attendance Sheet'!$B24="","",'Attendance Sheet'!$B24)</f>
        <v/>
      </c>
      <c r="C21" s="60" t="str">
        <f>IF('Attendance Sheet'!$C24="","",'Attendance Sheet'!$C24)</f>
        <v/>
      </c>
      <c r="D21" s="56" t="str">
        <f>IF('Attendance Sheet'!$D24="","",'Attendance Sheet'!$D24)</f>
        <v/>
      </c>
      <c r="E21" s="47" t="str">
        <f>IF('Attendance Sheet'!$E24="","",'Attendance Sheet'!$E24)</f>
        <v/>
      </c>
      <c r="F21" s="47" t="str">
        <f>IF('Attendance Sheet'!$F24="","",'Attendance Sheet'!$F24)</f>
        <v/>
      </c>
      <c r="G21" s="47" t="str">
        <f>IF('Attendance Sheet'!$G24="","",'Attendance Sheet'!$G24)</f>
        <v/>
      </c>
      <c r="H21" s="48" t="str">
        <f>IF('Attendance Sheet'!$H24="","",'Attendance Sheet'!$H24)</f>
        <v/>
      </c>
      <c r="I21" s="72">
        <f>IFERROR('Attendance Sheet'!$FV24,"")</f>
        <v>0</v>
      </c>
      <c r="J21" s="49">
        <f>IFERROR('Attendance Sheet'!$FW24,"")</f>
        <v>0</v>
      </c>
      <c r="K21" s="50">
        <f>'Attendance Sheet'!$FA24</f>
        <v>0</v>
      </c>
      <c r="L21" s="47">
        <f>'Attendance Sheet'!$FC24</f>
        <v>0</v>
      </c>
      <c r="M21" s="51">
        <f>'Attendance Sheet'!$FE24</f>
        <v>0</v>
      </c>
      <c r="N21" s="46">
        <f>'Attendance Sheet'!$FP24</f>
        <v>0</v>
      </c>
      <c r="O21" s="43"/>
      <c r="P21" s="43"/>
      <c r="Q21" s="45"/>
      <c r="R21" s="42"/>
      <c r="S21" s="73">
        <f t="shared" si="4"/>
        <v>0</v>
      </c>
      <c r="T21" s="46">
        <f>'Attendance Sheet'!$FT24</f>
        <v>0</v>
      </c>
      <c r="U21" s="43"/>
      <c r="V21" s="45" t="str">
        <f>'Attendance Sheet'!$FR24</f>
        <v/>
      </c>
      <c r="W21" s="45"/>
      <c r="X21" s="43"/>
      <c r="Y21" s="42"/>
      <c r="Z21" s="74">
        <f t="shared" si="1"/>
        <v>0</v>
      </c>
      <c r="AA21" s="75">
        <f t="shared" si="2"/>
        <v>0</v>
      </c>
      <c r="AB21" s="41"/>
      <c r="AC21" s="62"/>
    </row>
    <row r="22" spans="1:29" ht="20.100000000000001" customHeight="1">
      <c r="A22" s="41">
        <v>21</v>
      </c>
      <c r="B22" s="47" t="str">
        <f>IF('Attendance Sheet'!$B25="","",'Attendance Sheet'!$B25)</f>
        <v/>
      </c>
      <c r="C22" s="60" t="str">
        <f>IF('Attendance Sheet'!$C25="","",'Attendance Sheet'!$C25)</f>
        <v/>
      </c>
      <c r="D22" s="56" t="str">
        <f>IF('Attendance Sheet'!$D25="","",'Attendance Sheet'!$D25)</f>
        <v/>
      </c>
      <c r="E22" s="47" t="str">
        <f>IF('Attendance Sheet'!$E25="","",'Attendance Sheet'!$E25)</f>
        <v/>
      </c>
      <c r="F22" s="47" t="str">
        <f>IF('Attendance Sheet'!$F25="","",'Attendance Sheet'!$F25)</f>
        <v/>
      </c>
      <c r="G22" s="47" t="str">
        <f>IF('Attendance Sheet'!$G25="","",'Attendance Sheet'!$G25)</f>
        <v/>
      </c>
      <c r="H22" s="48" t="str">
        <f>IF('Attendance Sheet'!$H25="","",'Attendance Sheet'!$H25)</f>
        <v/>
      </c>
      <c r="I22" s="72">
        <f>IFERROR('Attendance Sheet'!$FV25,"")</f>
        <v>0</v>
      </c>
      <c r="J22" s="49">
        <f>IFERROR('Attendance Sheet'!$FW25,"")</f>
        <v>0</v>
      </c>
      <c r="K22" s="50">
        <f>'Attendance Sheet'!$FA25</f>
        <v>0</v>
      </c>
      <c r="L22" s="47">
        <f>'Attendance Sheet'!$FC25</f>
        <v>0</v>
      </c>
      <c r="M22" s="51">
        <f>'Attendance Sheet'!$FE25</f>
        <v>0</v>
      </c>
      <c r="N22" s="46">
        <f>'Attendance Sheet'!$FP25</f>
        <v>0</v>
      </c>
      <c r="O22" s="43"/>
      <c r="P22" s="43"/>
      <c r="Q22" s="45"/>
      <c r="R22" s="42"/>
      <c r="S22" s="73">
        <f t="shared" si="4"/>
        <v>0</v>
      </c>
      <c r="T22" s="46">
        <f>'Attendance Sheet'!$FT25</f>
        <v>0</v>
      </c>
      <c r="U22" s="43"/>
      <c r="V22" s="45" t="str">
        <f>'Attendance Sheet'!$FR25</f>
        <v/>
      </c>
      <c r="W22" s="45"/>
      <c r="X22" s="43"/>
      <c r="Y22" s="42"/>
      <c r="Z22" s="74">
        <f t="shared" si="1"/>
        <v>0</v>
      </c>
      <c r="AA22" s="75">
        <f t="shared" si="2"/>
        <v>0</v>
      </c>
      <c r="AB22" s="41"/>
      <c r="AC22" s="62"/>
    </row>
    <row r="23" spans="1:29" ht="20.100000000000001" customHeight="1">
      <c r="A23" s="41">
        <v>22</v>
      </c>
      <c r="B23" s="47" t="str">
        <f>IF('Attendance Sheet'!$B26="","",'Attendance Sheet'!$B26)</f>
        <v/>
      </c>
      <c r="C23" s="60" t="str">
        <f>IF('Attendance Sheet'!$C26="","",'Attendance Sheet'!$C26)</f>
        <v/>
      </c>
      <c r="D23" s="56" t="str">
        <f>IF('Attendance Sheet'!$D26="","",'Attendance Sheet'!$D26)</f>
        <v/>
      </c>
      <c r="E23" s="47" t="str">
        <f>IF('Attendance Sheet'!$E26="","",'Attendance Sheet'!$E26)</f>
        <v/>
      </c>
      <c r="F23" s="47" t="str">
        <f>IF('Attendance Sheet'!$F26="","",'Attendance Sheet'!$F26)</f>
        <v/>
      </c>
      <c r="G23" s="47" t="str">
        <f>IF('Attendance Sheet'!$G26="","",'Attendance Sheet'!$G26)</f>
        <v/>
      </c>
      <c r="H23" s="48" t="str">
        <f>IF('Attendance Sheet'!$H26="","",'Attendance Sheet'!$H26)</f>
        <v/>
      </c>
      <c r="I23" s="72">
        <f>IFERROR('Attendance Sheet'!$FV26,"")</f>
        <v>0</v>
      </c>
      <c r="J23" s="49">
        <f>IFERROR('Attendance Sheet'!$FW26,"")</f>
        <v>0</v>
      </c>
      <c r="K23" s="50">
        <f>'Attendance Sheet'!$FA26</f>
        <v>0</v>
      </c>
      <c r="L23" s="47">
        <f>'Attendance Sheet'!$FC26</f>
        <v>0</v>
      </c>
      <c r="M23" s="51">
        <f>'Attendance Sheet'!$FE26</f>
        <v>0</v>
      </c>
      <c r="N23" s="46">
        <f>'Attendance Sheet'!$FP26</f>
        <v>0</v>
      </c>
      <c r="O23" s="43"/>
      <c r="P23" s="43"/>
      <c r="Q23" s="45"/>
      <c r="R23" s="42"/>
      <c r="S23" s="73">
        <f t="shared" si="4"/>
        <v>0</v>
      </c>
      <c r="T23" s="46">
        <f>'Attendance Sheet'!$FT26</f>
        <v>0</v>
      </c>
      <c r="U23" s="43"/>
      <c r="V23" s="45" t="str">
        <f>'Attendance Sheet'!$FR26</f>
        <v/>
      </c>
      <c r="W23" s="45"/>
      <c r="X23" s="43"/>
      <c r="Y23" s="42"/>
      <c r="Z23" s="74">
        <f t="shared" si="1"/>
        <v>0</v>
      </c>
      <c r="AA23" s="75">
        <f t="shared" si="2"/>
        <v>0</v>
      </c>
      <c r="AB23" s="41"/>
      <c r="AC23" s="62"/>
    </row>
    <row r="24" spans="1:29" ht="20.100000000000001" customHeight="1">
      <c r="A24" s="41">
        <v>23</v>
      </c>
      <c r="B24" s="47" t="str">
        <f>IF('Attendance Sheet'!$B27="","",'Attendance Sheet'!$B27)</f>
        <v/>
      </c>
      <c r="C24" s="60" t="str">
        <f>IF('Attendance Sheet'!$C27="","",'Attendance Sheet'!$C27)</f>
        <v/>
      </c>
      <c r="D24" s="56" t="str">
        <f>IF('Attendance Sheet'!$D27="","",'Attendance Sheet'!$D27)</f>
        <v/>
      </c>
      <c r="E24" s="47" t="str">
        <f>IF('Attendance Sheet'!$E27="","",'Attendance Sheet'!$E27)</f>
        <v/>
      </c>
      <c r="F24" s="47" t="str">
        <f>IF('Attendance Sheet'!$F27="","",'Attendance Sheet'!$F27)</f>
        <v/>
      </c>
      <c r="G24" s="47" t="str">
        <f>IF('Attendance Sheet'!$G27="","",'Attendance Sheet'!$G27)</f>
        <v/>
      </c>
      <c r="H24" s="48" t="str">
        <f>IF('Attendance Sheet'!$H27="","",'Attendance Sheet'!$H27)</f>
        <v/>
      </c>
      <c r="I24" s="72">
        <f>IFERROR('Attendance Sheet'!$FV27,"")</f>
        <v>0</v>
      </c>
      <c r="J24" s="49">
        <f>IFERROR('Attendance Sheet'!$FW27,"")</f>
        <v>0</v>
      </c>
      <c r="K24" s="50">
        <f>'Attendance Sheet'!$FA27</f>
        <v>0</v>
      </c>
      <c r="L24" s="47">
        <f>'Attendance Sheet'!$FC27</f>
        <v>0</v>
      </c>
      <c r="M24" s="51">
        <f>'Attendance Sheet'!$FE27</f>
        <v>0</v>
      </c>
      <c r="N24" s="46">
        <f>'Attendance Sheet'!$FP27</f>
        <v>0</v>
      </c>
      <c r="O24" s="43"/>
      <c r="P24" s="43"/>
      <c r="Q24" s="45"/>
      <c r="R24" s="42"/>
      <c r="S24" s="73">
        <f t="shared" si="4"/>
        <v>0</v>
      </c>
      <c r="T24" s="46">
        <f>'Attendance Sheet'!$FT27</f>
        <v>0</v>
      </c>
      <c r="U24" s="43"/>
      <c r="V24" s="45" t="str">
        <f>'Attendance Sheet'!$FR27</f>
        <v/>
      </c>
      <c r="W24" s="45"/>
      <c r="X24" s="43"/>
      <c r="Y24" s="42"/>
      <c r="Z24" s="74">
        <f t="shared" si="1"/>
        <v>0</v>
      </c>
      <c r="AA24" s="75">
        <f t="shared" si="2"/>
        <v>0</v>
      </c>
      <c r="AB24" s="41"/>
      <c r="AC24" s="62"/>
    </row>
    <row r="25" spans="1:29" ht="20.100000000000001" customHeight="1">
      <c r="A25" s="41">
        <v>24</v>
      </c>
      <c r="B25" s="47" t="str">
        <f>IF('Attendance Sheet'!$B28="","",'Attendance Sheet'!$B28)</f>
        <v/>
      </c>
      <c r="C25" s="60" t="str">
        <f>IF('Attendance Sheet'!$C28="","",'Attendance Sheet'!$C28)</f>
        <v/>
      </c>
      <c r="D25" s="56" t="str">
        <f>IF('Attendance Sheet'!$D28="","",'Attendance Sheet'!$D28)</f>
        <v/>
      </c>
      <c r="E25" s="47" t="str">
        <f>IF('Attendance Sheet'!$E28="","",'Attendance Sheet'!$E28)</f>
        <v/>
      </c>
      <c r="F25" s="47" t="str">
        <f>IF('Attendance Sheet'!$F28="","",'Attendance Sheet'!$F28)</f>
        <v/>
      </c>
      <c r="G25" s="47" t="str">
        <f>IF('Attendance Sheet'!$G28="","",'Attendance Sheet'!$G28)</f>
        <v/>
      </c>
      <c r="H25" s="48" t="str">
        <f>IF('Attendance Sheet'!$H28="","",'Attendance Sheet'!$H28)</f>
        <v/>
      </c>
      <c r="I25" s="72">
        <f>IFERROR('Attendance Sheet'!$FV28,"")</f>
        <v>0</v>
      </c>
      <c r="J25" s="49">
        <f>IFERROR('Attendance Sheet'!$FW28,"")</f>
        <v>0</v>
      </c>
      <c r="K25" s="50">
        <f>'Attendance Sheet'!$FA28</f>
        <v>0</v>
      </c>
      <c r="L25" s="47">
        <f>'Attendance Sheet'!$FC28</f>
        <v>0</v>
      </c>
      <c r="M25" s="51">
        <f>'Attendance Sheet'!$FE28</f>
        <v>0</v>
      </c>
      <c r="N25" s="46">
        <f>'Attendance Sheet'!$FP28</f>
        <v>0</v>
      </c>
      <c r="O25" s="43"/>
      <c r="P25" s="43"/>
      <c r="Q25" s="45"/>
      <c r="R25" s="42"/>
      <c r="S25" s="73">
        <f t="shared" si="4"/>
        <v>0</v>
      </c>
      <c r="T25" s="46">
        <f>'Attendance Sheet'!$FT28</f>
        <v>0</v>
      </c>
      <c r="U25" s="43"/>
      <c r="V25" s="45" t="str">
        <f>'Attendance Sheet'!$FR28</f>
        <v/>
      </c>
      <c r="W25" s="45"/>
      <c r="X25" s="43"/>
      <c r="Y25" s="42"/>
      <c r="Z25" s="74">
        <f t="shared" si="1"/>
        <v>0</v>
      </c>
      <c r="AA25" s="75">
        <f t="shared" si="2"/>
        <v>0</v>
      </c>
      <c r="AB25" s="41"/>
      <c r="AC25" s="62"/>
    </row>
    <row r="26" spans="1:29" ht="20.100000000000001" customHeight="1">
      <c r="A26" s="41">
        <v>25</v>
      </c>
      <c r="B26" s="47" t="str">
        <f>IF('Attendance Sheet'!$B29="","",'Attendance Sheet'!$B29)</f>
        <v/>
      </c>
      <c r="C26" s="60" t="str">
        <f>IF('Attendance Sheet'!$C29="","",'Attendance Sheet'!$C29)</f>
        <v/>
      </c>
      <c r="D26" s="56" t="str">
        <f>IF('Attendance Sheet'!$D29="","",'Attendance Sheet'!$D29)</f>
        <v/>
      </c>
      <c r="E26" s="47" t="str">
        <f>IF('Attendance Sheet'!$E29="","",'Attendance Sheet'!$E29)</f>
        <v/>
      </c>
      <c r="F26" s="47" t="str">
        <f>IF('Attendance Sheet'!$F29="","",'Attendance Sheet'!$F29)</f>
        <v/>
      </c>
      <c r="G26" s="47" t="str">
        <f>IF('Attendance Sheet'!$G29="","",'Attendance Sheet'!$G29)</f>
        <v/>
      </c>
      <c r="H26" s="48" t="str">
        <f>IF('Attendance Sheet'!$H29="","",'Attendance Sheet'!$H29)</f>
        <v/>
      </c>
      <c r="I26" s="72">
        <f>IFERROR('Attendance Sheet'!$FV29,"")</f>
        <v>0</v>
      </c>
      <c r="J26" s="49">
        <f>IFERROR('Attendance Sheet'!$FW29,"")</f>
        <v>0</v>
      </c>
      <c r="K26" s="50">
        <f>'Attendance Sheet'!$FA29</f>
        <v>0</v>
      </c>
      <c r="L26" s="47">
        <f>'Attendance Sheet'!$FC29</f>
        <v>0</v>
      </c>
      <c r="M26" s="51">
        <f>'Attendance Sheet'!$FE29</f>
        <v>0</v>
      </c>
      <c r="N26" s="46">
        <f>'Attendance Sheet'!$FP29</f>
        <v>0</v>
      </c>
      <c r="O26" s="43"/>
      <c r="P26" s="43"/>
      <c r="Q26" s="45"/>
      <c r="R26" s="42"/>
      <c r="S26" s="73">
        <f t="shared" si="4"/>
        <v>0</v>
      </c>
      <c r="T26" s="46">
        <f>'Attendance Sheet'!$FT29</f>
        <v>0</v>
      </c>
      <c r="U26" s="43"/>
      <c r="V26" s="45" t="str">
        <f>'Attendance Sheet'!$FR29</f>
        <v/>
      </c>
      <c r="W26" s="45"/>
      <c r="X26" s="43"/>
      <c r="Y26" s="42"/>
      <c r="Z26" s="74">
        <f t="shared" si="1"/>
        <v>0</v>
      </c>
      <c r="AA26" s="75">
        <f t="shared" si="2"/>
        <v>0</v>
      </c>
      <c r="AB26" s="41"/>
      <c r="AC26" s="62"/>
    </row>
    <row r="27" spans="1:29" ht="20.100000000000001" customHeight="1">
      <c r="A27" s="41">
        <v>26</v>
      </c>
      <c r="B27" s="47" t="str">
        <f>IF('Attendance Sheet'!$B30="","",'Attendance Sheet'!$B30)</f>
        <v/>
      </c>
      <c r="C27" s="60" t="str">
        <f>IF('Attendance Sheet'!$C30="","",'Attendance Sheet'!$C30)</f>
        <v/>
      </c>
      <c r="D27" s="56" t="str">
        <f>IF('Attendance Sheet'!$D30="","",'Attendance Sheet'!$D30)</f>
        <v/>
      </c>
      <c r="E27" s="47" t="str">
        <f>IF('Attendance Sheet'!$E30="","",'Attendance Sheet'!$E30)</f>
        <v/>
      </c>
      <c r="F27" s="47" t="str">
        <f>IF('Attendance Sheet'!$F30="","",'Attendance Sheet'!$F30)</f>
        <v/>
      </c>
      <c r="G27" s="47" t="str">
        <f>IF('Attendance Sheet'!$G30="","",'Attendance Sheet'!$G30)</f>
        <v/>
      </c>
      <c r="H27" s="48" t="str">
        <f>IF('Attendance Sheet'!$H30="","",'Attendance Sheet'!$H30)</f>
        <v/>
      </c>
      <c r="I27" s="72">
        <f>IFERROR('Attendance Sheet'!$FV30,"")</f>
        <v>0</v>
      </c>
      <c r="J27" s="49">
        <f>IFERROR('Attendance Sheet'!$FW30,"")</f>
        <v>0</v>
      </c>
      <c r="K27" s="50">
        <f>'Attendance Sheet'!$FA30</f>
        <v>0</v>
      </c>
      <c r="L27" s="47">
        <f>'Attendance Sheet'!$FC30</f>
        <v>0</v>
      </c>
      <c r="M27" s="51">
        <f>'Attendance Sheet'!$FE30</f>
        <v>0</v>
      </c>
      <c r="N27" s="46">
        <f>'Attendance Sheet'!$FP30</f>
        <v>0</v>
      </c>
      <c r="O27" s="43"/>
      <c r="P27" s="43"/>
      <c r="Q27" s="45"/>
      <c r="R27" s="42"/>
      <c r="S27" s="73">
        <f t="shared" si="4"/>
        <v>0</v>
      </c>
      <c r="T27" s="46">
        <f>'Attendance Sheet'!$FT30</f>
        <v>0</v>
      </c>
      <c r="U27" s="43"/>
      <c r="V27" s="45" t="str">
        <f>'Attendance Sheet'!$FR30</f>
        <v/>
      </c>
      <c r="W27" s="45"/>
      <c r="X27" s="43"/>
      <c r="Y27" s="42"/>
      <c r="Z27" s="74">
        <f t="shared" si="1"/>
        <v>0</v>
      </c>
      <c r="AA27" s="75">
        <f t="shared" si="2"/>
        <v>0</v>
      </c>
      <c r="AB27" s="41"/>
      <c r="AC27" s="62"/>
    </row>
    <row r="28" spans="1:29" ht="20.100000000000001" customHeight="1">
      <c r="A28" s="41">
        <v>27</v>
      </c>
      <c r="B28" s="47" t="str">
        <f>IF('Attendance Sheet'!$B31="","",'Attendance Sheet'!$B31)</f>
        <v/>
      </c>
      <c r="C28" s="60" t="str">
        <f>IF('Attendance Sheet'!$C31="","",'Attendance Sheet'!$C31)</f>
        <v/>
      </c>
      <c r="D28" s="56" t="str">
        <f>IF('Attendance Sheet'!$D31="","",'Attendance Sheet'!$D31)</f>
        <v/>
      </c>
      <c r="E28" s="47" t="str">
        <f>IF('Attendance Sheet'!$E31="","",'Attendance Sheet'!$E31)</f>
        <v/>
      </c>
      <c r="F28" s="47" t="str">
        <f>IF('Attendance Sheet'!$F31="","",'Attendance Sheet'!$F31)</f>
        <v/>
      </c>
      <c r="G28" s="47" t="str">
        <f>IF('Attendance Sheet'!$G31="","",'Attendance Sheet'!$G31)</f>
        <v/>
      </c>
      <c r="H28" s="48" t="str">
        <f>IF('Attendance Sheet'!$H31="","",'Attendance Sheet'!$H31)</f>
        <v/>
      </c>
      <c r="I28" s="72">
        <f>IFERROR('Attendance Sheet'!$FV31,"")</f>
        <v>0</v>
      </c>
      <c r="J28" s="49">
        <f>IFERROR('Attendance Sheet'!$FW31,"")</f>
        <v>0</v>
      </c>
      <c r="K28" s="50">
        <f>'Attendance Sheet'!$FA31</f>
        <v>0</v>
      </c>
      <c r="L28" s="47">
        <f>'Attendance Sheet'!$FC31</f>
        <v>0</v>
      </c>
      <c r="M28" s="51">
        <f>'Attendance Sheet'!$FE31</f>
        <v>0</v>
      </c>
      <c r="N28" s="46">
        <f>'Attendance Sheet'!$FP31</f>
        <v>0</v>
      </c>
      <c r="O28" s="43"/>
      <c r="P28" s="43"/>
      <c r="Q28" s="45"/>
      <c r="R28" s="42"/>
      <c r="S28" s="73">
        <f t="shared" si="4"/>
        <v>0</v>
      </c>
      <c r="T28" s="46">
        <f>'Attendance Sheet'!$FT31</f>
        <v>0</v>
      </c>
      <c r="U28" s="43"/>
      <c r="V28" s="45" t="str">
        <f>'Attendance Sheet'!$FR31</f>
        <v/>
      </c>
      <c r="W28" s="45"/>
      <c r="X28" s="43"/>
      <c r="Y28" s="42"/>
      <c r="Z28" s="74">
        <f t="shared" si="1"/>
        <v>0</v>
      </c>
      <c r="AA28" s="75">
        <f t="shared" si="2"/>
        <v>0</v>
      </c>
      <c r="AB28" s="41"/>
      <c r="AC28" s="62"/>
    </row>
    <row r="29" spans="1:29" ht="20.100000000000001" customHeight="1">
      <c r="A29" s="41">
        <v>28</v>
      </c>
      <c r="B29" s="47" t="str">
        <f>IF('Attendance Sheet'!$B32="","",'Attendance Sheet'!$B32)</f>
        <v/>
      </c>
      <c r="C29" s="60" t="str">
        <f>IF('Attendance Sheet'!$C32="","",'Attendance Sheet'!$C32)</f>
        <v/>
      </c>
      <c r="D29" s="56" t="str">
        <f>IF('Attendance Sheet'!$D32="","",'Attendance Sheet'!$D32)</f>
        <v/>
      </c>
      <c r="E29" s="47" t="str">
        <f>IF('Attendance Sheet'!$E32="","",'Attendance Sheet'!$E32)</f>
        <v/>
      </c>
      <c r="F29" s="47" t="str">
        <f>IF('Attendance Sheet'!$F32="","",'Attendance Sheet'!$F32)</f>
        <v/>
      </c>
      <c r="G29" s="47" t="str">
        <f>IF('Attendance Sheet'!$G32="","",'Attendance Sheet'!$G32)</f>
        <v/>
      </c>
      <c r="H29" s="48" t="str">
        <f>IF('Attendance Sheet'!$H32="","",'Attendance Sheet'!$H32)</f>
        <v/>
      </c>
      <c r="I29" s="72">
        <f>IFERROR('Attendance Sheet'!$FV32,"")</f>
        <v>0</v>
      </c>
      <c r="J29" s="49">
        <f>IFERROR('Attendance Sheet'!$FW32,"")</f>
        <v>0</v>
      </c>
      <c r="K29" s="50">
        <f>'Attendance Sheet'!$FA32</f>
        <v>0</v>
      </c>
      <c r="L29" s="47">
        <f>'Attendance Sheet'!$FC32</f>
        <v>0</v>
      </c>
      <c r="M29" s="51">
        <f>'Attendance Sheet'!$FE32</f>
        <v>0</v>
      </c>
      <c r="N29" s="46">
        <f>'Attendance Sheet'!$FP32</f>
        <v>0</v>
      </c>
      <c r="O29" s="43"/>
      <c r="P29" s="43"/>
      <c r="Q29" s="45" t="str">
        <f>IFERROR('Attendance Sheet'!$FK32,"")</f>
        <v/>
      </c>
      <c r="R29" s="42"/>
      <c r="S29" s="73">
        <f t="shared" si="4"/>
        <v>0</v>
      </c>
      <c r="T29" s="46">
        <f>'Attendance Sheet'!$FT32</f>
        <v>0</v>
      </c>
      <c r="U29" s="43"/>
      <c r="V29" s="45" t="str">
        <f>'Attendance Sheet'!$FR32</f>
        <v/>
      </c>
      <c r="W29" s="45"/>
      <c r="X29" s="43"/>
      <c r="Y29" s="42"/>
      <c r="Z29" s="74">
        <f t="shared" si="1"/>
        <v>0</v>
      </c>
      <c r="AA29" s="75">
        <f t="shared" si="2"/>
        <v>0</v>
      </c>
      <c r="AB29" s="41"/>
      <c r="AC29" s="62"/>
    </row>
  </sheetData>
  <phoneticPr fontId="6" type="noConversion"/>
  <dataValidations count="1">
    <dataValidation type="list" allowBlank="1" showInputMessage="1" showErrorMessage="1" sqref="AB3:AB29" xr:uid="{7DAADB7C-91F0-42D0-AB90-F65E46C5BCD4}">
      <formula1>Bank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A379-B135-4F23-9C67-F974E46283FF}">
  <dimension ref="A1:A21"/>
  <sheetViews>
    <sheetView showGridLines="0" workbookViewId="0">
      <selection activeCell="A2" sqref="A2:A21"/>
    </sheetView>
  </sheetViews>
  <sheetFormatPr defaultRowHeight="15"/>
  <cols>
    <col min="1" max="1" width="18.4296875" bestFit="1" customWidth="1"/>
  </cols>
  <sheetData>
    <row r="1" spans="1:1">
      <c r="A1" s="80" t="s">
        <v>112</v>
      </c>
    </row>
    <row r="2" spans="1:1">
      <c r="A2" t="s">
        <v>96</v>
      </c>
    </row>
    <row r="3" spans="1:1">
      <c r="A3" t="s">
        <v>109</v>
      </c>
    </row>
    <row r="4" spans="1:1">
      <c r="A4" t="s">
        <v>104</v>
      </c>
    </row>
    <row r="5" spans="1:1">
      <c r="A5" t="s">
        <v>101</v>
      </c>
    </row>
    <row r="6" spans="1:1">
      <c r="A6" t="s">
        <v>105</v>
      </c>
    </row>
    <row r="7" spans="1:1">
      <c r="A7" t="s">
        <v>113</v>
      </c>
    </row>
    <row r="8" spans="1:1">
      <c r="A8" t="s">
        <v>107</v>
      </c>
    </row>
    <row r="9" spans="1:1">
      <c r="A9" t="s">
        <v>114</v>
      </c>
    </row>
    <row r="10" spans="1:1">
      <c r="A10" t="s">
        <v>103</v>
      </c>
    </row>
    <row r="11" spans="1:1">
      <c r="A11" t="s">
        <v>115</v>
      </c>
    </row>
    <row r="12" spans="1:1">
      <c r="A12" t="s">
        <v>110</v>
      </c>
    </row>
    <row r="13" spans="1:1">
      <c r="A13" t="s">
        <v>99</v>
      </c>
    </row>
    <row r="14" spans="1:1">
      <c r="A14" t="s">
        <v>95</v>
      </c>
    </row>
    <row r="15" spans="1:1">
      <c r="A15" t="s">
        <v>111</v>
      </c>
    </row>
    <row r="16" spans="1:1">
      <c r="A16" t="s">
        <v>102</v>
      </c>
    </row>
    <row r="17" spans="1:1">
      <c r="A17" t="s">
        <v>106</v>
      </c>
    </row>
    <row r="18" spans="1:1">
      <c r="A18" t="s">
        <v>100</v>
      </c>
    </row>
    <row r="19" spans="1:1">
      <c r="A19" t="s">
        <v>108</v>
      </c>
    </row>
    <row r="20" spans="1:1">
      <c r="A20" t="s">
        <v>97</v>
      </c>
    </row>
    <row r="21" spans="1:1">
      <c r="A21" t="s">
        <v>98</v>
      </c>
    </row>
  </sheetData>
  <sortState xmlns:xlrd2="http://schemas.microsoft.com/office/spreadsheetml/2017/richdata2" ref="A2:A21">
    <sortCondition ref="A2:A2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Attendance Sheet</vt:lpstr>
      <vt:lpstr>Payroll Sheet</vt:lpstr>
      <vt:lpstr>Sheet1</vt:lpstr>
      <vt:lpstr>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UCHE  ONYEMA OKORO</dc:creator>
  <cp:lastModifiedBy>Princess Friday</cp:lastModifiedBy>
  <cp:lastPrinted>2024-06-30T19:21:19Z</cp:lastPrinted>
  <dcterms:created xsi:type="dcterms:W3CDTF">2024-06-25T07:47:02Z</dcterms:created>
  <dcterms:modified xsi:type="dcterms:W3CDTF">2026-01-23T16:54:17Z</dcterms:modified>
</cp:coreProperties>
</file>